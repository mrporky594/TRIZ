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NGAPORE\Downloads\"/>
    </mc:Choice>
  </mc:AlternateContent>
  <xr:revisionPtr revIDLastSave="0" documentId="13_ncr:1_{0EADF6A5-5D9C-4C6C-A29C-B7220893BC49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Questionnaire" sheetId="1" r:id="rId1"/>
    <sheet name="Balanced Score Matrix" sheetId="2" r:id="rId2"/>
    <sheet name="Member Database" sheetId="3" r:id="rId3"/>
    <sheet name="Export &amp; Code Guide" sheetId="4" r:id="rId4"/>
    <sheet name="VBA Setup Instructions" sheetId="5" r:id="rId5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B5" i="3" l="1"/>
  <c r="AA5" i="3"/>
  <c r="Z5" i="3"/>
  <c r="Y5" i="3"/>
  <c r="AC5" i="3" s="1"/>
  <c r="AD5" i="3" s="1"/>
  <c r="H34" i="2"/>
  <c r="G34" i="2"/>
  <c r="I34" i="2" s="1"/>
  <c r="I31" i="2"/>
  <c r="H31" i="2"/>
  <c r="G31" i="2"/>
  <c r="F31" i="2"/>
  <c r="I30" i="2"/>
  <c r="H30" i="2"/>
  <c r="G30" i="2"/>
  <c r="F30" i="2"/>
  <c r="I29" i="2"/>
  <c r="H29" i="2"/>
  <c r="G29" i="2"/>
  <c r="F29" i="2"/>
  <c r="I28" i="2"/>
  <c r="H28" i="2"/>
  <c r="G28" i="2"/>
  <c r="F28" i="2"/>
  <c r="G32" i="2" s="1"/>
  <c r="I27" i="2"/>
  <c r="H27" i="2"/>
  <c r="G27" i="2"/>
  <c r="F27" i="2"/>
  <c r="F32" i="2" s="1"/>
  <c r="H32" i="2" s="1"/>
  <c r="I24" i="2"/>
  <c r="H24" i="2"/>
  <c r="G24" i="2"/>
  <c r="E24" i="2"/>
  <c r="I23" i="2"/>
  <c r="H23" i="2"/>
  <c r="G23" i="2"/>
  <c r="E23" i="2"/>
  <c r="I22" i="2"/>
  <c r="H22" i="2"/>
  <c r="G22" i="2"/>
  <c r="E22" i="2"/>
  <c r="I21" i="2"/>
  <c r="H21" i="2"/>
  <c r="G21" i="2"/>
  <c r="E21" i="2"/>
  <c r="G25" i="2" s="1"/>
  <c r="I20" i="2"/>
  <c r="H20" i="2"/>
  <c r="G20" i="2"/>
  <c r="E20" i="2"/>
  <c r="D18" i="2"/>
  <c r="H18" i="2" s="1"/>
  <c r="I17" i="2"/>
  <c r="H17" i="2"/>
  <c r="G17" i="2"/>
  <c r="D17" i="2"/>
  <c r="I16" i="2"/>
  <c r="H16" i="2"/>
  <c r="G16" i="2"/>
  <c r="D16" i="2"/>
  <c r="I15" i="2"/>
  <c r="H15" i="2"/>
  <c r="G15" i="2"/>
  <c r="D15" i="2"/>
  <c r="I14" i="2"/>
  <c r="H14" i="2"/>
  <c r="G14" i="2"/>
  <c r="D14" i="2"/>
  <c r="I13" i="2"/>
  <c r="H13" i="2"/>
  <c r="G13" i="2"/>
  <c r="D13" i="2"/>
  <c r="G18" i="2" s="1"/>
  <c r="I10" i="2"/>
  <c r="H10" i="2"/>
  <c r="G10" i="2"/>
  <c r="C10" i="2"/>
  <c r="I9" i="2"/>
  <c r="H9" i="2"/>
  <c r="G9" i="2"/>
  <c r="C9" i="2"/>
  <c r="I8" i="2"/>
  <c r="H8" i="2"/>
  <c r="G8" i="2"/>
  <c r="C8" i="2"/>
  <c r="I7" i="2"/>
  <c r="H7" i="2"/>
  <c r="G7" i="2"/>
  <c r="C7" i="2"/>
  <c r="C11" i="2" s="1"/>
  <c r="H11" i="2" s="1"/>
  <c r="I6" i="2"/>
  <c r="H6" i="2"/>
  <c r="G6" i="2"/>
  <c r="C6" i="2"/>
  <c r="G11" i="2" s="1"/>
  <c r="E35" i="1"/>
  <c r="E28" i="1"/>
  <c r="E21" i="1"/>
  <c r="E14" i="1"/>
  <c r="E37" i="1" s="1"/>
  <c r="E25" i="2" l="1"/>
  <c r="H25" i="2" s="1"/>
</calcChain>
</file>

<file path=xl/sharedStrings.xml><?xml version="1.0" encoding="utf-8"?>
<sst xmlns="http://schemas.openxmlformats.org/spreadsheetml/2006/main" count="445" uniqueCount="322">
  <si>
    <t>TEAM MEMBER EVALUATION QUESTIONNAIRE</t>
  </si>
  <si>
    <t>Project Team Membership Assessment  |  Balanced Skill Scorecard</t>
  </si>
  <si>
    <t>Candidate Name:  ___________________________</t>
  </si>
  <si>
    <t>Evaluator:  ___________________________</t>
  </si>
  <si>
    <t>Date:  ___________________________</t>
  </si>
  <si>
    <t>#</t>
  </si>
  <si>
    <t>Category</t>
  </si>
  <si>
    <t>Question / Behavioural Indicator</t>
  </si>
  <si>
    <t>Evidence / Notes</t>
  </si>
  <si>
    <t>Rating
(1–5)</t>
  </si>
  <si>
    <t>Weight</t>
  </si>
  <si>
    <t>Rating Scale:  1 = Well Below Expectations  |  2 = Below  |  3 = Meets  |  4 = Exceeds  |  5 = Exceptional</t>
  </si>
  <si>
    <t xml:space="preserve">  TECHNICAL SKILLS</t>
  </si>
  <si>
    <t>T1</t>
  </si>
  <si>
    <t>Domain Expertise</t>
  </si>
  <si>
    <t>Does the individual demonstrate strong knowledge in their core discipline?</t>
  </si>
  <si>
    <t>25%</t>
  </si>
  <si>
    <t>T2</t>
  </si>
  <si>
    <t>Applied Technical Skill</t>
  </si>
  <si>
    <t>Can they translate technical knowledge into actionable outputs?</t>
  </si>
  <si>
    <t>T3</t>
  </si>
  <si>
    <t>Continuous Learning</t>
  </si>
  <si>
    <t>Do they actively update their skills and stay current?</t>
  </si>
  <si>
    <t>T4</t>
  </si>
  <si>
    <t>Quality of Technical Output</t>
  </si>
  <si>
    <t>Is the quality, accuracy, and rigour of their work consistently high?</t>
  </si>
  <si>
    <t>T5</t>
  </si>
  <si>
    <t>Cross-Functional Technical Contribution</t>
  </si>
  <si>
    <t>Can they apply skills across functions to support the team?</t>
  </si>
  <si>
    <t xml:space="preserve">  Technical Sub-Total (avg × weight)</t>
  </si>
  <si>
    <t xml:space="preserve">  PROBLEM SOLVING SKILLS</t>
  </si>
  <si>
    <t>P1</t>
  </si>
  <si>
    <t>Analytical Thinking</t>
  </si>
  <si>
    <t>Does the individual break down complex problems systematically?</t>
  </si>
  <si>
    <t>P2</t>
  </si>
  <si>
    <t>Creative Solution Crafting</t>
  </si>
  <si>
    <t>Do they generate innovative solutions at difficult impasses?</t>
  </si>
  <si>
    <t>P3</t>
  </si>
  <si>
    <t>Decision-Making Under Uncertainty</t>
  </si>
  <si>
    <t>Can they make sound judgements with incomplete information?</t>
  </si>
  <si>
    <t>P4</t>
  </si>
  <si>
    <t>Resourcefulness</t>
  </si>
  <si>
    <t>Do they find ways to progress even when resources are limited?</t>
  </si>
  <si>
    <t>P5</t>
  </si>
  <si>
    <t>Lessons-Learned Orientation</t>
  </si>
  <si>
    <t>Do they reflect on past problems and apply those insights?</t>
  </si>
  <si>
    <t xml:space="preserve">  Problem Solving Sub-Total (avg × weight)</t>
  </si>
  <si>
    <t xml:space="preserve">  INTERPERSONAL SKILLS</t>
  </si>
  <si>
    <t>I1</t>
  </si>
  <si>
    <t>Collaborative Disposition</t>
  </si>
  <si>
    <t>Does the individual actively share knowledge and workload?</t>
  </si>
  <si>
    <t>I2</t>
  </si>
  <si>
    <t>Communication Clarity</t>
  </si>
  <si>
    <t>Do they express ideas clearly and adapt style to different audiences?</t>
  </si>
  <si>
    <t>I3</t>
  </si>
  <si>
    <t>Active Listening</t>
  </si>
  <si>
    <t>Do they genuinely engage with others' input and incorporate feedback?</t>
  </si>
  <si>
    <t>I4</t>
  </si>
  <si>
    <t>Conflict Management</t>
  </si>
  <si>
    <t>When disagreements arise, do they work toward resolution?</t>
  </si>
  <si>
    <t>I5</t>
  </si>
  <si>
    <t>Empathy &amp; Trust-Building</t>
  </si>
  <si>
    <t>Do they build psychological safety within the team?</t>
  </si>
  <si>
    <t xml:space="preserve">  Interpersonal Sub-Total (avg × weight)</t>
  </si>
  <si>
    <t xml:space="preserve">  ORGANIZATIONAL SKILLS</t>
  </si>
  <si>
    <t>O1</t>
  </si>
  <si>
    <t>Networking Effectiveness</t>
  </si>
  <si>
    <t>Does the individual cultivate productive cross-organisation relationships?</t>
  </si>
  <si>
    <t>O2</t>
  </si>
  <si>
    <t>Resource Mobilisation</t>
  </si>
  <si>
    <t>Can they secure support from operating units when needed?</t>
  </si>
  <si>
    <t>O3</t>
  </si>
  <si>
    <t>Stakeholder Navigation</t>
  </si>
  <si>
    <t>Do they understand the political landscape and manage it diplomatically?</t>
  </si>
  <si>
    <t>O4</t>
  </si>
  <si>
    <t>Cross-Unit Communication</t>
  </si>
  <si>
    <t>Do they keep relevant parts of the organisation informed and aligned?</t>
  </si>
  <si>
    <t>O5</t>
  </si>
  <si>
    <t>Alignment with Organisational Goals</t>
  </si>
  <si>
    <t>Do their actions consistently advance both project and company priorities?</t>
  </si>
  <si>
    <t xml:space="preserve">  Organizational Sub-Total (avg × weight)</t>
  </si>
  <si>
    <t xml:space="preserve">  OVERALL BALANCED SCORE  (max 5.00)</t>
  </si>
  <si>
    <t xml:space="preserve">  ▶  SAVE TO DATABASE  — Click macro button below to commit this evaluation</t>
  </si>
  <si>
    <t>Recommendation:</t>
  </si>
  <si>
    <t xml:space="preserve">  ☐ Strong Recommend   ☐ Recommend with Conditions   ☐ Recommend for Mentorship   ☐ Do Not Recommend</t>
  </si>
  <si>
    <t>Notes / Development Areas:</t>
  </si>
  <si>
    <t>TEAM MEMBERSHIP – BALANCED SCORE MATRIX</t>
  </si>
  <si>
    <t>Consolidated view across all four competency pillars  |  Scores auto-populated from Questionnaire sheet</t>
  </si>
  <si>
    <t>Competency / Indicator</t>
  </si>
  <si>
    <t>Technical
(25%)</t>
  </si>
  <si>
    <t>Problem
Solving (25%)</t>
  </si>
  <si>
    <t>Interpersonal
(25%)</t>
  </si>
  <si>
    <t>Organisational
(25%)</t>
  </si>
  <si>
    <t>Avg Score
(1–5)</t>
  </si>
  <si>
    <t>Weighted
Contribution</t>
  </si>
  <si>
    <t>Performance Band</t>
  </si>
  <si>
    <t>–</t>
  </si>
  <si>
    <t xml:space="preserve">  Technical Average</t>
  </si>
  <si>
    <t xml:space="preserve">  Problem Solving Average</t>
  </si>
  <si>
    <t xml:space="preserve">  Interpersonal Average</t>
  </si>
  <si>
    <t xml:space="preserve">  Organizational Average</t>
  </si>
  <si>
    <t xml:space="preserve">  OVERALL BALANCED SCORE  (sum of weighted category averages)</t>
  </si>
  <si>
    <t>INTERPRETATION GUIDE</t>
  </si>
  <si>
    <t>4.50–5.00</t>
  </si>
  <si>
    <t>Exceptional</t>
  </si>
  <si>
    <t>Rare top talent; prioritise for team.</t>
  </si>
  <si>
    <t>3.50–4.49</t>
  </si>
  <si>
    <t>Exceeds</t>
  </si>
  <si>
    <t>Strong candidate; minor gaps manageable.</t>
  </si>
  <si>
    <t>2.50–3.49</t>
  </si>
  <si>
    <t>Meets</t>
  </si>
  <si>
    <t>Solid contributor; pair with mentors.</t>
  </si>
  <si>
    <t>1.50–2.49</t>
  </si>
  <si>
    <t>Below</t>
  </si>
  <si>
    <t>Significant gaps; consider development plan.</t>
  </si>
  <si>
    <t>1.00–1.49</t>
  </si>
  <si>
    <t>Well Below</t>
  </si>
  <si>
    <t>Not recommended at this time.</t>
  </si>
  <si>
    <t>MEMBER EVALUATION DATABASE  —  CSV-Ready Flat Table</t>
  </si>
  <si>
    <t>Each row = one completed evaluation.  Macro appends here automatically.  Export via File → Save As → CSV for use in Python / R.</t>
  </si>
  <si>
    <t>EntryID</t>
  </si>
  <si>
    <t>Timestamp</t>
  </si>
  <si>
    <t>CandidateName</t>
  </si>
  <si>
    <t>Evaluator</t>
  </si>
  <si>
    <t>T1_DomainExpertise</t>
  </si>
  <si>
    <t>T2_AppliedTechnical</t>
  </si>
  <si>
    <t>T3_ContinuousLearning</t>
  </si>
  <si>
    <t>T4_OutputQuality</t>
  </si>
  <si>
    <t>T5_CrossFunctional</t>
  </si>
  <si>
    <t>P1_AnalyticalThinking</t>
  </si>
  <si>
    <t>P2_CreativeSolutions</t>
  </si>
  <si>
    <t>P3_DecisionUnderUncertainty</t>
  </si>
  <si>
    <t>P4_Resourcefulness</t>
  </si>
  <si>
    <t>P5_LessonsLearned</t>
  </si>
  <si>
    <t>I1_CollaborativeDisposition</t>
  </si>
  <si>
    <t>I2_CommunicationClarity</t>
  </si>
  <si>
    <t>I3_ActiveListening</t>
  </si>
  <si>
    <t>I4_ConflictManagement</t>
  </si>
  <si>
    <t>I5_EmpathyTrust</t>
  </si>
  <si>
    <t>O1_NetworkingEffectiveness</t>
  </si>
  <si>
    <t>O2_ResourceMobilisation</t>
  </si>
  <si>
    <t>O3_StakeholderNavigation</t>
  </si>
  <si>
    <t>O4_CrossUnitComms</t>
  </si>
  <si>
    <t>O5_StrategicAlignment</t>
  </si>
  <si>
    <t>Technical_Avg</t>
  </si>
  <si>
    <t>ProblemSolving_Avg</t>
  </si>
  <si>
    <t>Interpersonal_Avg</t>
  </si>
  <si>
    <t>Organizational_Avg</t>
  </si>
  <si>
    <t>OverallBalancedScore</t>
  </si>
  <si>
    <t>PerformanceBand</t>
  </si>
  <si>
    <t>Recommendation</t>
  </si>
  <si>
    <t>001</t>
  </si>
  <si>
    <t>2026-04-21 09:00</t>
  </si>
  <si>
    <t>Jane Doe (Sample)</t>
  </si>
  <si>
    <t>John Smith</t>
  </si>
  <si>
    <t>Recommend with Conditions</t>
  </si>
  <si>
    <t>EXPORT &amp; VISUALISATION CODE GUIDE</t>
  </si>
  <si>
    <t>STEP 1 – Save as CSV from Excel</t>
  </si>
  <si>
    <t>File  →  Save a Copy  →  choose 'CSV UTF-8 (Comma delimited) (*.csv)'</t>
  </si>
  <si>
    <t>Save as:  member_database.csv</t>
  </si>
  <si>
    <t>Only the 'Member Database' sheet is needed; it is already flat/tidy.</t>
  </si>
  <si>
    <t>PYTHON – Load, Inspect &amp; Radar Chart (matplotlib)</t>
  </si>
  <si>
    <t>import pandas as pd</t>
  </si>
  <si>
    <t>import matplotlib.pyplot as plt</t>
  </si>
  <si>
    <t>import numpy as np</t>
  </si>
  <si>
    <t>df = pd.read_csv('member_database.csv', skiprows=3)  # skip title rows</t>
  </si>
  <si>
    <t>df.columns = df.columns.str.strip()</t>
  </si>
  <si>
    <t># ── Basic inspection ──────────────────────────────────────────────────</t>
  </si>
  <si>
    <t>print(df[['CandidateName','Technical_Avg','ProblemSolving_Avg',</t>
  </si>
  <si>
    <t xml:space="preserve">          'Interpersonal_Avg','Organizational_Avg','OverallBalancedScore']])</t>
  </si>
  <si>
    <t># ── Radar chart for a single member ───────────────────────────────────</t>
  </si>
  <si>
    <t>member = df[df['CandidateName'] == 'Jane Doe (Sample)'].iloc[0]</t>
  </si>
  <si>
    <t>cats   = ['Technical','Problem\nSolving','Interpersonal','Organizational']</t>
  </si>
  <si>
    <t>vals   = [member['Technical_Avg'], member['ProblemSolving_Avg'],</t>
  </si>
  <si>
    <t xml:space="preserve">          member['Interpersonal_Avg'], member['Organizational_Avg']]</t>
  </si>
  <si>
    <t>vals  += vals[:1]   # close the polygon</t>
  </si>
  <si>
    <t>angles = np.linspace(0, 2*np.pi, len(cats), endpoint=False).tolist()</t>
  </si>
  <si>
    <t>angles += angles[:1]</t>
  </si>
  <si>
    <t>fig, ax = plt.subplots(figsize=(5,5), subplot_kw=dict(polar=True))</t>
  </si>
  <si>
    <t>ax.fill(angles, vals, alpha=0.25, color='steelblue')</t>
  </si>
  <si>
    <t>ax.plot(angles, vals, color='steelblue', linewidth=2)</t>
  </si>
  <si>
    <t>ax.set_thetagrids(np.degrees(angles[:-1]), cats, fontsize=10)</t>
  </si>
  <si>
    <t>ax.set_ylim(0,5); ax.set_title(member['CandidateName'], pad=20)</t>
  </si>
  <si>
    <t>plt.tight_layout(); plt.savefig('radar.png', dpi=150); plt.show()</t>
  </si>
  <si>
    <t># ── Heatmap of all members ─────────────────────────────────────────────</t>
  </si>
  <si>
    <t>import seaborn as sns</t>
  </si>
  <si>
    <t>heat = df.set_index('CandidateName')[['Technical_Avg','ProblemSolving_Avg',</t>
  </si>
  <si>
    <t xml:space="preserve">       'Interpersonal_Avg','Organizational_Avg']]</t>
  </si>
  <si>
    <t>sns.heatmap(heat, annot=True, fmt='.2f', cmap='YlGnBu', vmin=1, vmax=5)</t>
  </si>
  <si>
    <t>plt.title('Team Competency Heatmap'); plt.tight_layout(); plt.show()</t>
  </si>
  <si>
    <t>R – Load, Inspect &amp; Radar Chart (fmsb / ggplot2)</t>
  </si>
  <si>
    <t>library(tidyverse)</t>
  </si>
  <si>
    <t>library(fmsb)</t>
  </si>
  <si>
    <t>df &lt;- read_csv('member_database.csv', skip = 3)  # skip title rows</t>
  </si>
  <si>
    <t>df &lt;- df %&gt;% rename_with(str_trim)</t>
  </si>
  <si>
    <t># ── Summary table ─────────────────────────────────────────────────────</t>
  </si>
  <si>
    <t>df %&gt;% select(CandidateName, Technical_Avg, ProblemSolving_Avg,</t>
  </si>
  <si>
    <t xml:space="preserve">              Interpersonal_Avg, Organizational_Avg, OverallBalancedScore) %&gt;%</t>
  </si>
  <si>
    <t xml:space="preserve">  print(n = Inf)</t>
  </si>
  <si>
    <t># ── Radar chart (fmsb) ────────────────────────────────────────────────</t>
  </si>
  <si>
    <t>member &lt;- df %&gt;% filter(CandidateName == 'Jane Doe (Sample)') %&gt;%</t>
  </si>
  <si>
    <t xml:space="preserve">  select(Technical_Avg, ProblemSolving_Avg, Interpersonal_Avg, Organizational_Avg)</t>
  </si>
  <si>
    <t>radar_data &lt;- rbind(rep(5,4), rep(1,4), member)</t>
  </si>
  <si>
    <t>colnames(radar_data) &lt;- c('Technical','Problem Solving','Interpersonal','Organizational')</t>
  </si>
  <si>
    <t>radarchart(radar_data, axistype=1, pcol='steelblue', pfcol=rgb(.27,.51,.71,.35),</t>
  </si>
  <si>
    <t xml:space="preserve">           plwd=2, title='Member Skill Radar')</t>
  </si>
  <si>
    <t># ── Heatmap (ggplot2) ─────────────────────────────────────────────────</t>
  </si>
  <si>
    <t>long &lt;- df %&gt;%</t>
  </si>
  <si>
    <t xml:space="preserve">  select(CandidateName, Technical_Avg, ProblemSolving_Avg,</t>
  </si>
  <si>
    <t xml:space="preserve">         Interpersonal_Avg, Organizational_Avg) %&gt;%</t>
  </si>
  <si>
    <t xml:space="preserve">  pivot_longer(-CandidateName, names_to='Pillar', values_to='Score')</t>
  </si>
  <si>
    <t>ggplot(long, aes(Pillar, CandidateName, fill=Score)) +</t>
  </si>
  <si>
    <t xml:space="preserve">  geom_tile(colour='white') +</t>
  </si>
  <si>
    <t xml:space="preserve">  scale_fill_gradient(low='#fee08b', high='#1a9850', limits=c(1,5)) +</t>
  </si>
  <si>
    <t xml:space="preserve">  labs(title='Team Competency Heatmap') + theme_minimal()</t>
  </si>
  <si>
    <t>CSV COLUMN REFERENCE (first 31 columns)</t>
  </si>
  <si>
    <t>Col  Field                    Type     Description</t>
  </si>
  <si>
    <t>─────────────────────────────────────────────────────────────────────</t>
  </si>
  <si>
    <t>A    EntryID                  integer  Auto-incremented row ID</t>
  </si>
  <si>
    <t>B    Timestamp                datetime YYYY-MM-DD HH:MM (macro-filled)</t>
  </si>
  <si>
    <t>C    CandidateName            string   From Questionnaire cell B4 area</t>
  </si>
  <si>
    <t>D    Evaluator                string   From Questionnaire cell D4 area</t>
  </si>
  <si>
    <t>E–I  T1…T5                    integer  Technical ratings (1–5 each)</t>
  </si>
  <si>
    <t>J–N  P1…P5                    integer  Problem Solving ratings (1–5 each)</t>
  </si>
  <si>
    <t>O–S  I1…I5                    integer  Interpersonal ratings (1–5 each)</t>
  </si>
  <si>
    <t>T–X  O1…O5                    integer  Organizational ratings (1–5 each)</t>
  </si>
  <si>
    <t>Y    Technical_Avg            float    AVERAGE(E:I)</t>
  </si>
  <si>
    <t>Z    ProblemSolving_Avg       float    AVERAGE(J:N)</t>
  </si>
  <si>
    <t>AA   Interpersonal_Avg        float    AVERAGE(O:S)</t>
  </si>
  <si>
    <t>AB   Organizational_Avg       float    AVERAGE(T:X)</t>
  </si>
  <si>
    <t>AC   OverallBalancedScore     float    (Y+Z+AA+AB)*0.25</t>
  </si>
  <si>
    <t>AD   PerformanceBand          string   Exceptional/Exceeds/Meets/Below/Well Below</t>
  </si>
  <si>
    <t>AE   Recommendation           string   Free text from evaluator</t>
  </si>
  <si>
    <t>VBA MACRO SETUP  —  SaveToDatabase Button</t>
  </si>
  <si>
    <t>WHY .xlsm?   This file must be saved as .xlsm (Excel Macro-Enabled Workbook) for the button to work.</t>
  </si>
  <si>
    <t>STEP 1   Press  Alt + F11  to open the Visual Basic Editor (VBE).</t>
  </si>
  <si>
    <t>STEP 2   In the VBE, go to  Insert → Module  to create a new module.</t>
  </si>
  <si>
    <t>STEP 3   Paste the VBA code below into the module window, then close VBE.</t>
  </si>
  <si>
    <t>STEP 4   Back in Excel, go to  Developer → Insert → Button (Form Control).</t>
  </si>
  <si>
    <t>STEP 5   Draw the button on the Questionnaire sheet (suggested: rows 38–39, cols A–F).</t>
  </si>
  <si>
    <t>STEP 6   In the 'Assign Macro' dialog, select  SaveToDatabase  and click OK.</t>
  </si>
  <si>
    <t>STEP 7   Right-click the button → Edit Text → type  'SAVE TO DATABASE ▶'.</t>
  </si>
  <si>
    <t>STEP 8   Format the button: right-click → Format Control → Font: Arial 11 Bold.</t>
  </si>
  <si>
    <t>── VBA CODE TO PASTE ──────────────────────────────────────────────────────────────────────</t>
  </si>
  <si>
    <t>Sub SaveToDatabase()</t>
  </si>
  <si>
    <t xml:space="preserve">        Dim wsQ As Worksheet, wsDB As Worksheet</t>
  </si>
  <si>
    <t xml:space="preserve">        Dim nextRow As Long</t>
  </si>
  <si>
    <t xml:space="preserve">        Dim score As Double</t>
  </si>
  <si>
    <t xml:space="preserve">        </t>
  </si>
  <si>
    <t xml:space="preserve">        wsQ  = ThisWorkbook.Sheets("Questionnaire")</t>
  </si>
  <si>
    <t xml:space="preserve">        wsDB = ThisWorkbook.Sheets("Member Database")</t>
  </si>
  <si>
    <t xml:space="preserve">        ' Find next empty row (data starts at row 5)',</t>
  </si>
  <si>
    <t xml:space="preserve">        nextRow = wsDB.Cells(wsDB.Rows.Count, 1).End(xlUp).Row + 1</t>
  </si>
  <si>
    <t xml:space="preserve">        If nextRow &lt; 5 Then nextRow = 5</t>
  </si>
  <si>
    <t xml:space="preserve">        ' EntryID</t>
  </si>
  <si>
    <t xml:space="preserve">        wsDB.Cells(nextRow, 1).Value = nextRow - 4</t>
  </si>
  <si>
    <t xml:space="preserve">        ' Timestamp</t>
  </si>
  <si>
    <t xml:space="preserve">        wsDB.Cells(nextRow, 2).Value = Format(Now(), "YYYY-MM-DD HH:MM")</t>
  </si>
  <si>
    <t xml:space="preserve">        ' Candidate &amp; Evaluator (read from meta area)</t>
  </si>
  <si>
    <t xml:space="preserve">        wsDB.Cells(nextRow, 3).Value = wsQ.Range("A4").Value</t>
  </si>
  <si>
    <t xml:space="preserve">        wsDB.Cells(nextRow, 4).Value = wsQ.Range("C4").Value</t>
  </si>
  <si>
    <t xml:space="preserve">        ' Individual ratings – Technical (E9:E13), PS (E16:E20), IP (E23:E27), Org (E30:E34)</t>
  </si>
  <si>
    <t xml:space="preserve">        Dim i As Integer</t>
  </si>
  <si>
    <t xml:space="preserve">        For i = 0 To 4</t>
  </si>
  <si>
    <t xml:space="preserve">            wsDB.Cells(nextRow, 5  + i).Value = wsQ.Cells(9  + i, 5).Value  ' T1-T5</t>
  </si>
  <si>
    <t xml:space="preserve">            wsDB.Cells(nextRow, 10 + i).Value = wsQ.Cells(16 + i, 5).Value  ' P1-P5</t>
  </si>
  <si>
    <t xml:space="preserve">            wsDB.Cells(nextRow, 15 + i).Value = wsQ.Cells(23 + i, 5).Value  ' I1-I5</t>
  </si>
  <si>
    <t xml:space="preserve">            wsDB.Cells(nextRow, 20 + i).Value = wsQ.Cells(30 + i, 5).Value  ' O1-O5</t>
  </si>
  <si>
    <t xml:space="preserve">        Next i</t>
  </si>
  <si>
    <t xml:space="preserve">        ' Pillar averages (columns Y=25, Z=26, AA=27, AB=28)</t>
  </si>
  <si>
    <t xml:space="preserve">        wsDB.Cells(nextRow,25).Formula = "=IFERROR(AVERAGE(E" &amp; nextRow &amp; ":I" &amp; nextRow &amp; "),""")"</t>
  </si>
  <si>
    <t xml:space="preserve">        wsDB.Cells(nextRow,26).Formula = "=IFERROR(AVERAGE(J" &amp; nextRow &amp; ":N" &amp; nextRow &amp; "),""")"</t>
  </si>
  <si>
    <t xml:space="preserve">        wsDB.Cells(nextRow,27).Formula = "=IFERROR(AVERAGE(O" &amp; nextRow &amp; ":S" &amp; nextRow &amp; "),""")"</t>
  </si>
  <si>
    <t xml:space="preserve">        wsDB.Cells(nextRow,28).Formula = "=IFERROR(AVERAGE(T" &amp; nextRow &amp; ":X" &amp; nextRow &amp; "),""")"</t>
  </si>
  <si>
    <t xml:space="preserve">        ' Overall balanced score (col AC=29)</t>
  </si>
  <si>
    <t xml:space="preserve">        wsDB.Cells(nextRow,29).Formula = "=IFERROR((Y" &amp; nextRow &amp; "+Z" &amp; nextRow &amp; _</t>
  </si>
  <si>
    <t xml:space="preserve">            "+AA" &amp; nextRow &amp; "+AB" &amp; nextRow &amp; ")*0.25,""")"</t>
  </si>
  <si>
    <t xml:space="preserve">        ' Performance band (col AD=30)</t>
  </si>
  <si>
    <t xml:space="preserve">        Dim s As String</t>
  </si>
  <si>
    <t xml:space="preserve">        s = "AC" &amp; nextRow</t>
  </si>
  <si>
    <t xml:space="preserve">        wsDB.Cells(nextRow,30).Formula = _</t>
  </si>
  <si>
    <t xml:space="preserve">            "=IFERROR(IF(" &amp; s &amp; "&gt;=""4.5"",\"Exceptional\"," &amp; _</t>
  </si>
  <si>
    <t xml:space="preserve">            "IF(" &amp; s &amp; "&gt;=""3.5"",\"Exceeds\"," &amp; _</t>
  </si>
  <si>
    <t xml:space="preserve">            "IF(" &amp; s &amp; "&gt;=""2.5"",\"Meets\"," &amp; _</t>
  </si>
  <si>
    <t xml:space="preserve">            "IF(" &amp; s &amp; "&gt;=""1.5"",\"Below\",\"Well Below\")))),\"-\")"</t>
  </si>
  <si>
    <t xml:space="preserve">        ' Recommendation – prompt user</t>
  </si>
  <si>
    <t xml:space="preserve">        Dim rec As String</t>
  </si>
  <si>
    <t xml:space="preserve">        rec = InputBox("Enter Recommendation for " &amp; wsQ.Range("A4").Value &amp; ":" &amp; Chr(13) &amp; _</t>
  </si>
  <si>
    <t xml:space="preserve">            "e.g. Strong Recommend / Recommend with Conditions / Recommend for Mentorship / Do Not Recommend",</t>
  </si>
  <si>
    <t xml:space="preserve">            "Recommendation", "")</t>
  </si>
  <si>
    <t xml:space="preserve">        wsDB.Cells(nextRow, 31).Value = rec</t>
  </si>
  <si>
    <t xml:space="preserve">        ' Format new row</t>
  </si>
  <si>
    <t xml:space="preserve">        With wsDB.Rows(nextRow)</t>
  </si>
  <si>
    <t xml:space="preserve">            .Font.Name = "Arial"</t>
  </si>
  <si>
    <t xml:space="preserve">            .Font.Size = 9</t>
  </si>
  <si>
    <t xml:space="preserve">            .HorizontalAlignment = xlCenter</t>
  </si>
  <si>
    <t xml:space="preserve">            .Borders(xlEdgeBottom).LineStyle = xlContinuous</t>
  </si>
  <si>
    <t xml:space="preserve">        End With</t>
  </si>
  <si>
    <t xml:space="preserve">        wsDB.Cells(nextRow,3).HorizontalAlignment = xlLeft</t>
  </si>
  <si>
    <t xml:space="preserve">        wsDB.Cells(nextRow,4).HorizontalAlignment = xlLeft</t>
  </si>
  <si>
    <t xml:space="preserve">        ' Alternate row shading</t>
  </si>
  <si>
    <t xml:space="preserve">        If (nextRow - 4) Mod 2 = 0 Then</t>
  </si>
  <si>
    <t xml:space="preserve">            wsDB.Rows(nextRow).Interior.Color = RGB(235,243,251)</t>
  </si>
  <si>
    <t xml:space="preserve">        Else</t>
  </si>
  <si>
    <t xml:space="preserve">            wsDB.Rows(nextRow).Interior.Color = RGB(255,255,255)</t>
  </si>
  <si>
    <t xml:space="preserve">        End If</t>
  </si>
  <si>
    <t xml:space="preserve">        ' Confirm</t>
  </si>
  <si>
    <t xml:space="preserve">        MsgBox "✔  Evaluation saved to Member Database (row " &amp; nextRow - 4 &amp; ")." &amp; Chr(13) &amp; _</t>
  </si>
  <si>
    <t xml:space="preserve">               "You can now clear the Questionnaire ratings for the next candidate.",</t>
  </si>
  <si>
    <t xml:space="preserve">               vbInformation, "Saved Successfully"</t>
  </si>
  <si>
    <t xml:space="preserve">    End Sub</t>
  </si>
  <si>
    <t>Sub ClearQuestionnaire()</t>
  </si>
  <si>
    <t xml:space="preserve">        ' Optional helper: clears all rating cells ready for next candidate</t>
  </si>
  <si>
    <t xml:space="preserve">        Dim wsQ As Worksheet</t>
  </si>
  <si>
    <t xml:space="preserve">        wsQ = ThisWorkbook.Sheets("Questionnaire")</t>
  </si>
  <si>
    <t xml:space="preserve">            wsQ.Cells(9+i,5).ClearContents</t>
  </si>
  <si>
    <t xml:space="preserve">            wsQ.Cells(16+i,5).ClearContents</t>
  </si>
  <si>
    <t xml:space="preserve">            wsQ.Cells(23+i,5).ClearContents</t>
  </si>
  <si>
    <t xml:space="preserve">            wsQ.Cells(30+i,5).ClearContents</t>
  </si>
  <si>
    <t xml:space="preserve">        wsQ.Range("A4").Value = "Candidate Name:  ___________________________"</t>
  </si>
  <si>
    <t xml:space="preserve">        wsQ.Range("C4").Value = "Evaluator:  ___________________________"</t>
  </si>
  <si>
    <t xml:space="preserve">        MsgBox "Questionnaire cleared for next candidate.", vbInformation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</si>
</sst>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charset val="1"/>
    </font>
    <font>
      <b/>
      <sz val="16"/>
      <color rgb="FFFFFFFF"/>
      <name val="Arial"/>
      <charset val="1"/>
    </font>
    <font>
      <i/>
      <sz val="10"/>
      <color rgb="FFBDD7EE"/>
      <name val="Arial"/>
      <charset val="1"/>
    </font>
    <font>
      <b/>
      <sz val="10"/>
      <color rgb="FF1F1F1F"/>
      <name val="Arial"/>
      <charset val="1"/>
    </font>
    <font>
      <b/>
      <sz val="10"/>
      <color rgb="FFFFFFFF"/>
      <name val="Arial"/>
      <charset val="1"/>
    </font>
    <font>
      <i/>
      <sz val="9"/>
      <color rgb="FF404040"/>
      <name val="Arial"/>
      <charset val="1"/>
    </font>
    <font>
      <b/>
      <sz val="11"/>
      <color rgb="FFFFFFFF"/>
      <name val="Arial"/>
      <charset val="1"/>
    </font>
    <font>
      <b/>
      <sz val="9"/>
      <color rgb="FF1F4E79"/>
      <name val="Arial"/>
      <charset val="1"/>
    </font>
    <font>
      <sz val="9"/>
      <color rgb="FF1F1F1F"/>
      <name val="Arial"/>
      <charset val="1"/>
    </font>
    <font>
      <b/>
      <sz val="10"/>
      <color rgb="FF1F4E79"/>
      <name val="Arial"/>
      <charset val="1"/>
    </font>
    <font>
      <sz val="10"/>
      <color rgb="FF1F4E79"/>
      <name val="Arial"/>
      <charset val="1"/>
    </font>
    <font>
      <b/>
      <sz val="9"/>
      <color rgb="FF375623"/>
      <name val="Arial"/>
      <charset val="1"/>
    </font>
    <font>
      <b/>
      <sz val="10"/>
      <color rgb="FF375623"/>
      <name val="Arial"/>
      <charset val="1"/>
    </font>
    <font>
      <sz val="10"/>
      <color rgb="FF375623"/>
      <name val="Arial"/>
      <charset val="1"/>
    </font>
    <font>
      <b/>
      <sz val="9"/>
      <color rgb="FF7B2C2C"/>
      <name val="Arial"/>
      <charset val="1"/>
    </font>
    <font>
      <b/>
      <sz val="10"/>
      <color rgb="FF7B2C2C"/>
      <name val="Arial"/>
      <charset val="1"/>
    </font>
    <font>
      <sz val="10"/>
      <color rgb="FF7B2C2C"/>
      <name val="Arial"/>
      <charset val="1"/>
    </font>
    <font>
      <b/>
      <sz val="9"/>
      <color rgb="FF4A235A"/>
      <name val="Arial"/>
      <charset val="1"/>
    </font>
    <font>
      <b/>
      <sz val="10"/>
      <color rgb="FF4A235A"/>
      <name val="Arial"/>
      <charset val="1"/>
    </font>
    <font>
      <sz val="10"/>
      <color rgb="FF4A235A"/>
      <name val="Arial"/>
      <charset val="1"/>
    </font>
    <font>
      <b/>
      <sz val="12"/>
      <color rgb="FFFFFFFF"/>
      <name val="Arial"/>
      <charset val="1"/>
    </font>
    <font>
      <b/>
      <sz val="10"/>
      <name val="Arial"/>
      <charset val="1"/>
    </font>
    <font>
      <sz val="10"/>
      <color rgb="FF1F1F1F"/>
      <name val="Arial"/>
      <charset val="1"/>
    </font>
    <font>
      <b/>
      <sz val="15"/>
      <color rgb="FFFFFFFF"/>
      <name val="Arial"/>
      <charset val="1"/>
    </font>
    <font>
      <i/>
      <sz val="9"/>
      <color rgb="FFBDD7EE"/>
      <name val="Arial"/>
      <charset val="1"/>
    </font>
    <font>
      <b/>
      <sz val="9"/>
      <color rgb="FFFFFFFF"/>
      <name val="Arial"/>
      <charset val="1"/>
    </font>
    <font>
      <sz val="9"/>
      <color rgb="FFBFBFBF"/>
      <name val="Arial"/>
      <charset val="1"/>
    </font>
    <font>
      <b/>
      <sz val="10"/>
      <color rgb="FF538135"/>
      <name val="Arial"/>
      <charset val="1"/>
    </font>
    <font>
      <b/>
      <sz val="10"/>
      <color rgb="FF7F7F7F"/>
      <name val="Arial"/>
      <charset val="1"/>
    </font>
    <font>
      <b/>
      <sz val="10"/>
      <color rgb="FFC55A11"/>
      <name val="Arial"/>
      <charset val="1"/>
    </font>
    <font>
      <b/>
      <sz val="10"/>
      <color rgb="FFC00000"/>
      <name val="Arial"/>
      <charset val="1"/>
    </font>
    <font>
      <b/>
      <sz val="14"/>
      <color rgb="FFFFFFFF"/>
      <name val="Arial"/>
      <charset val="1"/>
    </font>
    <font>
      <i/>
      <sz val="9"/>
      <color rgb="FF595959"/>
      <name val="Arial"/>
      <charset val="1"/>
    </font>
    <font>
      <sz val="9"/>
      <color rgb="FFD4D4D4"/>
      <name val="Courier New"/>
      <charset val="1"/>
    </font>
    <font>
      <sz val="11"/>
      <color theme="1"/>
      <name val="Aptos Serif"/>
      <family val="1"/>
    </font>
  </fonts>
  <fills count="23">
    <fill>
      <patternFill patternType="none"/>
    </fill>
    <fill>
      <patternFill patternType="gray125"/>
    </fill>
    <fill>
      <patternFill patternType="solid">
        <fgColor rgb="FF1F3864"/>
        <bgColor rgb="FF1F4E79"/>
      </patternFill>
    </fill>
    <fill>
      <patternFill patternType="solid">
        <fgColor rgb="FF2E75B6"/>
        <bgColor rgb="FF4472C4"/>
      </patternFill>
    </fill>
    <fill>
      <patternFill patternType="solid">
        <fgColor rgb="FFEBF3FB"/>
        <bgColor rgb="FFF2F2F2"/>
      </patternFill>
    </fill>
    <fill>
      <patternFill patternType="solid">
        <fgColor rgb="FF1F4E79"/>
        <bgColor rgb="FF1F3864"/>
      </patternFill>
    </fill>
    <fill>
      <patternFill patternType="solid">
        <fgColor rgb="FFDEEAF1"/>
        <bgColor rgb="FFE2EFDA"/>
      </patternFill>
    </fill>
    <fill>
      <patternFill patternType="solid">
        <fgColor rgb="FFFFF2CC"/>
        <bgColor rgb="FFFCE4D6"/>
      </patternFill>
    </fill>
    <fill>
      <patternFill patternType="solid">
        <fgColor rgb="FFFFFFFF"/>
        <bgColor rgb="FFF2F2F2"/>
      </patternFill>
    </fill>
    <fill>
      <patternFill patternType="solid">
        <fgColor rgb="FF375623"/>
        <bgColor rgb="FF404040"/>
      </patternFill>
    </fill>
    <fill>
      <patternFill patternType="solid">
        <fgColor rgb="FFE2EFDA"/>
        <bgColor rgb="FFDEEAF1"/>
      </patternFill>
    </fill>
    <fill>
      <patternFill patternType="solid">
        <fgColor rgb="FF7B2C2C"/>
        <bgColor rgb="FF993366"/>
      </patternFill>
    </fill>
    <fill>
      <patternFill patternType="solid">
        <fgColor rgb="FFFCE4D6"/>
        <bgColor rgb="FFFFF2CC"/>
      </patternFill>
    </fill>
    <fill>
      <patternFill patternType="solid">
        <fgColor rgb="FF4A235A"/>
        <bgColor rgb="FF404040"/>
      </patternFill>
    </fill>
    <fill>
      <patternFill patternType="solid">
        <fgColor rgb="FFEAD1DC"/>
        <bgColor rgb="FFD4D4D4"/>
      </patternFill>
    </fill>
    <fill>
      <patternFill patternType="solid">
        <fgColor rgb="FFF2F2F2"/>
        <bgColor rgb="FFEBF3FB"/>
      </patternFill>
    </fill>
    <fill>
      <patternFill patternType="solid">
        <fgColor rgb="FF4472C4"/>
        <bgColor rgb="FF2E75B6"/>
      </patternFill>
    </fill>
    <fill>
      <patternFill patternType="solid">
        <fgColor rgb="FF7030A0"/>
        <bgColor rgb="FF993366"/>
      </patternFill>
    </fill>
    <fill>
      <patternFill patternType="solid">
        <fgColor rgb="FF538135"/>
        <bgColor rgb="FF808000"/>
      </patternFill>
    </fill>
    <fill>
      <patternFill patternType="solid">
        <fgColor rgb="FF7F7F7F"/>
        <bgColor rgb="FF969696"/>
      </patternFill>
    </fill>
    <fill>
      <patternFill patternType="solid">
        <fgColor rgb="FFC55A11"/>
        <bgColor rgb="FF993366"/>
      </patternFill>
    </fill>
    <fill>
      <patternFill patternType="solid">
        <fgColor rgb="FFC00000"/>
        <bgColor rgb="FF800000"/>
      </patternFill>
    </fill>
    <fill>
      <patternFill patternType="solid">
        <fgColor rgb="FF1E1E1E"/>
        <bgColor rgb="FF1F1F1F"/>
      </patternFill>
    </fill>
  </fills>
  <borders count="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medium">
        <color rgb="FF595959"/>
      </left>
      <right/>
      <top style="medium">
        <color rgb="FF595959"/>
      </top>
      <bottom style="medium">
        <color rgb="FF595959"/>
      </bottom>
      <diagonal/>
    </border>
    <border>
      <left style="medium">
        <color rgb="FF595959"/>
      </left>
      <right style="medium">
        <color rgb="FF595959"/>
      </right>
      <top style="medium">
        <color rgb="FF595959"/>
      </top>
      <bottom style="medium">
        <color rgb="FF595959"/>
      </bottom>
      <diagonal/>
    </border>
  </borders>
  <cellStyleXfs count="1">
    <xf numFmtId="0" fontId="0" fillId="0" borderId="0"/>
  </cellStyleXfs>
  <cellXfs count="111">
    <xf numFmtId="0" fontId="0" fillId="0" borderId="0" xfId="0"/>
    <xf numFmtId="0" fontId="4" fillId="3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 wrapText="1"/>
    </xf>
    <xf numFmtId="0" fontId="0" fillId="6" borderId="1" xfId="0" applyFill="1" applyBorder="1"/>
    <xf numFmtId="0" fontId="0" fillId="7" borderId="1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8" fillId="8" borderId="1" xfId="0" applyFont="1" applyFill="1" applyBorder="1" applyAlignment="1">
      <alignment horizontal="left" vertical="center" wrapText="1"/>
    </xf>
    <xf numFmtId="0" fontId="0" fillId="8" borderId="1" xfId="0" applyFill="1" applyBorder="1"/>
    <xf numFmtId="0" fontId="10" fillId="6" borderId="1" xfId="0" applyFont="1" applyFill="1" applyBorder="1" applyAlignment="1">
      <alignment horizontal="center" vertical="center" wrapText="1"/>
    </xf>
    <xf numFmtId="2" fontId="4" fillId="5" borderId="1" xfId="0" applyNumberFormat="1" applyFont="1" applyFill="1" applyBorder="1" applyAlignment="1">
      <alignment horizontal="center" vertical="center" wrapText="1"/>
    </xf>
    <xf numFmtId="0" fontId="0" fillId="5" borderId="1" xfId="0" applyFill="1" applyBorder="1"/>
    <xf numFmtId="0" fontId="11" fillId="10" borderId="1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8" fillId="10" borderId="1" xfId="0" applyFont="1" applyFill="1" applyBorder="1" applyAlignment="1">
      <alignment horizontal="left" vertical="center" wrapText="1"/>
    </xf>
    <xf numFmtId="0" fontId="0" fillId="10" borderId="1" xfId="0" applyFill="1" applyBorder="1"/>
    <xf numFmtId="0" fontId="12" fillId="10" borderId="1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 wrapText="1"/>
    </xf>
    <xf numFmtId="2" fontId="4" fillId="9" borderId="1" xfId="0" applyNumberFormat="1" applyFont="1" applyFill="1" applyBorder="1" applyAlignment="1">
      <alignment horizontal="center" vertical="center" wrapText="1"/>
    </xf>
    <xf numFmtId="0" fontId="0" fillId="9" borderId="1" xfId="0" applyFill="1" applyBorder="1"/>
    <xf numFmtId="0" fontId="14" fillId="1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8" fillId="12" borderId="1" xfId="0" applyFont="1" applyFill="1" applyBorder="1" applyAlignment="1">
      <alignment horizontal="left" vertical="center" wrapText="1"/>
    </xf>
    <xf numFmtId="0" fontId="0" fillId="12" borderId="1" xfId="0" applyFill="1" applyBorder="1"/>
    <xf numFmtId="0" fontId="15" fillId="12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2" fontId="4" fillId="11" borderId="1" xfId="0" applyNumberFormat="1" applyFont="1" applyFill="1" applyBorder="1" applyAlignment="1">
      <alignment horizontal="center" vertical="center" wrapText="1"/>
    </xf>
    <xf numFmtId="0" fontId="0" fillId="11" borderId="1" xfId="0" applyFill="1" applyBorder="1"/>
    <xf numFmtId="0" fontId="17" fillId="14" borderId="1" xfId="0" applyFont="1" applyFill="1" applyBorder="1" applyAlignment="1">
      <alignment horizontal="center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8" fillId="14" borderId="1" xfId="0" applyFont="1" applyFill="1" applyBorder="1" applyAlignment="1">
      <alignment horizontal="left" vertical="center" wrapText="1"/>
    </xf>
    <xf numFmtId="0" fontId="0" fillId="14" borderId="1" xfId="0" applyFill="1" applyBorder="1"/>
    <xf numFmtId="0" fontId="18" fillId="14" borderId="1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center" vertical="center" wrapText="1"/>
    </xf>
    <xf numFmtId="2" fontId="4" fillId="13" borderId="1" xfId="0" applyNumberFormat="1" applyFont="1" applyFill="1" applyBorder="1" applyAlignment="1">
      <alignment horizontal="center" vertical="center" wrapText="1"/>
    </xf>
    <xf numFmtId="0" fontId="0" fillId="13" borderId="1" xfId="0" applyFill="1" applyBorder="1"/>
    <xf numFmtId="2" fontId="20" fillId="2" borderId="4" xfId="0" applyNumberFormat="1" applyFont="1" applyFill="1" applyBorder="1" applyAlignment="1">
      <alignment horizontal="center" vertical="center" wrapText="1"/>
    </xf>
    <xf numFmtId="0" fontId="0" fillId="2" borderId="4" xfId="0" applyFill="1" applyBorder="1"/>
    <xf numFmtId="0" fontId="25" fillId="3" borderId="1" xfId="0" applyFont="1" applyFill="1" applyBorder="1" applyAlignment="1">
      <alignment horizontal="center" vertical="center" wrapText="1"/>
    </xf>
    <xf numFmtId="0" fontId="25" fillId="5" borderId="1" xfId="0" applyFont="1" applyFill="1" applyBorder="1" applyAlignment="1">
      <alignment horizontal="center" vertical="center" wrapText="1"/>
    </xf>
    <xf numFmtId="0" fontId="25" fillId="9" borderId="1" xfId="0" applyFont="1" applyFill="1" applyBorder="1" applyAlignment="1">
      <alignment horizontal="center" vertical="center" wrapText="1"/>
    </xf>
    <xf numFmtId="0" fontId="25" fillId="11" borderId="1" xfId="0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 wrapText="1"/>
    </xf>
    <xf numFmtId="0" fontId="25" fillId="16" borderId="1" xfId="0" applyFont="1" applyFill="1" applyBorder="1" applyAlignment="1">
      <alignment horizontal="center" vertical="center" wrapText="1"/>
    </xf>
    <xf numFmtId="0" fontId="25" fillId="17" borderId="1" xfId="0" applyFont="1" applyFill="1" applyBorder="1" applyAlignment="1">
      <alignment horizontal="center" vertical="center" wrapText="1"/>
    </xf>
    <xf numFmtId="1" fontId="0" fillId="7" borderId="1" xfId="0" applyNumberFormat="1" applyFill="1" applyBorder="1" applyAlignment="1">
      <alignment horizontal="center" vertical="center" wrapText="1"/>
    </xf>
    <xf numFmtId="0" fontId="26" fillId="6" borderId="1" xfId="0" applyFont="1" applyFill="1" applyBorder="1" applyAlignment="1">
      <alignment horizontal="center" vertical="center" wrapText="1"/>
    </xf>
    <xf numFmtId="164" fontId="0" fillId="7" borderId="1" xfId="0" applyNumberFormat="1" applyFill="1" applyBorder="1" applyAlignment="1">
      <alignment horizontal="center" vertical="center" wrapText="1"/>
    </xf>
    <xf numFmtId="2" fontId="0" fillId="7" borderId="1" xfId="0" applyNumberFormat="1" applyFill="1" applyBorder="1" applyAlignment="1">
      <alignment horizontal="center" vertical="center" wrapText="1"/>
    </xf>
    <xf numFmtId="0" fontId="26" fillId="8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6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26" fillId="12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0" fontId="25" fillId="18" borderId="1" xfId="0" applyFont="1" applyFill="1" applyBorder="1" applyAlignment="1">
      <alignment horizontal="center" vertical="center" wrapText="1"/>
    </xf>
    <xf numFmtId="0" fontId="25" fillId="19" borderId="1" xfId="0" applyFont="1" applyFill="1" applyBorder="1" applyAlignment="1">
      <alignment horizontal="center" vertical="center" wrapText="1"/>
    </xf>
    <xf numFmtId="0" fontId="25" fillId="20" borderId="1" xfId="0" applyFont="1" applyFill="1" applyBorder="1" applyAlignment="1">
      <alignment horizontal="center" vertical="center" wrapText="1"/>
    </xf>
    <xf numFmtId="0" fontId="25" fillId="21" borderId="1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 wrapText="1"/>
    </xf>
    <xf numFmtId="2" fontId="32" fillId="4" borderId="1" xfId="0" applyNumberFormat="1" applyFont="1" applyFill="1" applyBorder="1" applyAlignment="1">
      <alignment horizontal="center" vertical="center" wrapText="1"/>
    </xf>
    <xf numFmtId="0" fontId="33" fillId="22" borderId="0" xfId="0" applyFont="1" applyFill="1" applyAlignment="1">
      <alignment horizontal="left" vertical="center"/>
    </xf>
    <xf numFmtId="0" fontId="8" fillId="6" borderId="0" xfId="0" applyFont="1" applyFill="1" applyAlignment="1">
      <alignment horizontal="left" vertical="center" wrapText="1"/>
    </xf>
    <xf numFmtId="0" fontId="0" fillId="0" borderId="0" xfId="0"/>
    <xf numFmtId="0" fontId="4" fillId="13" borderId="0" xfId="0" applyFont="1" applyFill="1" applyAlignment="1">
      <alignment horizontal="left" vertical="center"/>
    </xf>
    <xf numFmtId="0" fontId="31" fillId="2" borderId="0" xfId="0" applyFont="1" applyFill="1" applyAlignment="1">
      <alignment horizontal="center" vertical="center" wrapText="1"/>
    </xf>
    <xf numFmtId="0" fontId="0" fillId="8" borderId="2" xfId="0" applyFill="1" applyBorder="1"/>
    <xf numFmtId="0" fontId="4" fillId="9" borderId="0" xfId="0" applyFont="1" applyFill="1" applyAlignment="1">
      <alignment horizontal="center" vertical="center" wrapText="1"/>
    </xf>
    <xf numFmtId="0" fontId="21" fillId="15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1" fillId="15" borderId="0" xfId="0" applyFont="1" applyFill="1" applyAlignment="1">
      <alignment horizontal="left" vertical="center" wrapText="1"/>
    </xf>
    <xf numFmtId="0" fontId="6" fillId="11" borderId="2" xfId="0" applyFont="1" applyFill="1" applyBorder="1" applyAlignment="1">
      <alignment horizontal="left" vertical="center"/>
    </xf>
    <xf numFmtId="0" fontId="4" fillId="11" borderId="2" xfId="0" applyFont="1" applyFill="1" applyBorder="1" applyAlignment="1">
      <alignment horizontal="left" vertical="center"/>
    </xf>
    <xf numFmtId="0" fontId="6" fillId="13" borderId="2" xfId="0" applyFont="1" applyFill="1" applyBorder="1" applyAlignment="1">
      <alignment horizontal="left" vertical="center"/>
    </xf>
    <xf numFmtId="0" fontId="4" fillId="13" borderId="2" xfId="0" applyFont="1" applyFill="1" applyBorder="1" applyAlignment="1">
      <alignment horizontal="left" vertical="center"/>
    </xf>
    <xf numFmtId="0" fontId="20" fillId="2" borderId="3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2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left" vertical="center"/>
    </xf>
    <xf numFmtId="0" fontId="4" fillId="9" borderId="2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2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6" fillId="13" borderId="0" xfId="0" applyFont="1" applyFill="1" applyAlignment="1">
      <alignment horizontal="left" vertical="center"/>
    </xf>
    <xf numFmtId="0" fontId="6" fillId="11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6" fillId="9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375623"/>
      <rgbColor rgb="FF000080"/>
      <rgbColor rgb="FF808000"/>
      <rgbColor rgb="FF800080"/>
      <rgbColor rgb="FF008080"/>
      <rgbColor rgb="FFBFBFBF"/>
      <rgbColor rgb="FF7F7F7F"/>
      <rgbColor rgb="FF9999FF"/>
      <rgbColor rgb="FF7030A0"/>
      <rgbColor rgb="FFFFF2CC"/>
      <rgbColor rgb="FFEBF3FB"/>
      <rgbColor rgb="FF4A235A"/>
      <rgbColor rgb="FFFF8080"/>
      <rgbColor rgb="FF2E75B6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EEAF1"/>
      <rgbColor rgb="FFE2EFDA"/>
      <rgbColor rgb="FFFCE4D6"/>
      <rgbColor rgb="FFD4D4D4"/>
      <rgbColor rgb="FFF2F2F2"/>
      <rgbColor rgb="FFCC99FF"/>
      <rgbColor rgb="FFEAD1DC"/>
      <rgbColor rgb="FF4472C4"/>
      <rgbColor rgb="FF33CCCC"/>
      <rgbColor rgb="FF99CC00"/>
      <rgbColor rgb="FFFFCC00"/>
      <rgbColor rgb="FFFF9900"/>
      <rgbColor rgb="FFC55A11"/>
      <rgbColor rgb="FF595959"/>
      <rgbColor rgb="FF969696"/>
      <rgbColor rgb="FF1F3864"/>
      <rgbColor rgb="FF538135"/>
      <rgbColor rgb="FF1E1E1E"/>
      <rgbColor rgb="FF1F1F1F"/>
      <rgbColor rgb="FF7B2C2C"/>
      <rgbColor rgb="FF993366"/>
      <rgbColor rgb="FF1F4E79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38100</xdr:rowOff>
        </xdr:from>
        <xdr:to>
          <xdr:col>5</xdr:col>
          <xdr:colOff>904875</xdr:colOff>
          <xdr:row>37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Serif"/>
                  <a:cs typeface="Aptos Serif"/>
                </a:rPr>
                <a:t>Save to Questionaire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Serif"/>
                <a:cs typeface="Aptos Serif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8"/>
  <sheetViews>
    <sheetView showGridLines="0" tabSelected="1" zoomScaleNormal="100" workbookViewId="0">
      <selection activeCell="J41" sqref="J41"/>
    </sheetView>
  </sheetViews>
  <sheetFormatPr defaultColWidth="8.7109375" defaultRowHeight="15" x14ac:dyDescent="0.25"/>
  <cols>
    <col min="1" max="1" width="4" customWidth="1"/>
    <col min="2" max="2" width="28" customWidth="1"/>
    <col min="3" max="3" width="52" customWidth="1"/>
    <col min="4" max="4" width="18" customWidth="1"/>
    <col min="5" max="6" width="14" customWidth="1"/>
  </cols>
  <sheetData>
    <row r="1" spans="1:6" ht="36" customHeight="1" x14ac:dyDescent="0.25">
      <c r="A1" s="90" t="s">
        <v>0</v>
      </c>
      <c r="B1" s="90"/>
      <c r="C1" s="90"/>
      <c r="D1" s="90"/>
      <c r="E1" s="90"/>
      <c r="F1" s="90"/>
    </row>
    <row r="2" spans="1:6" ht="19.5" customHeight="1" x14ac:dyDescent="0.25">
      <c r="A2" s="91" t="s">
        <v>1</v>
      </c>
      <c r="B2" s="91"/>
      <c r="C2" s="91"/>
      <c r="D2" s="91"/>
      <c r="E2" s="91"/>
      <c r="F2" s="91"/>
    </row>
    <row r="3" spans="1:6" ht="6" customHeight="1" x14ac:dyDescent="0.25"/>
    <row r="4" spans="1:6" ht="21.75" customHeight="1" x14ac:dyDescent="0.25">
      <c r="A4" s="92" t="s">
        <v>2</v>
      </c>
      <c r="B4" s="92"/>
      <c r="C4" s="92" t="s">
        <v>3</v>
      </c>
      <c r="D4" s="92"/>
      <c r="E4" s="92" t="s">
        <v>4</v>
      </c>
      <c r="F4" s="92"/>
    </row>
    <row r="5" spans="1:6" ht="6" customHeight="1" x14ac:dyDescent="0.25"/>
    <row r="6" spans="1:6" ht="31.5" customHeight="1" x14ac:dyDescent="0.25">
      <c r="A6" s="1" t="s">
        <v>5</v>
      </c>
      <c r="B6" s="1" t="s">
        <v>6</v>
      </c>
      <c r="C6" s="1" t="s">
        <v>7</v>
      </c>
      <c r="D6" s="1" t="s">
        <v>8</v>
      </c>
      <c r="E6" s="1" t="s">
        <v>9</v>
      </c>
      <c r="F6" s="1" t="s">
        <v>10</v>
      </c>
    </row>
    <row r="7" spans="1:6" ht="18" customHeight="1" x14ac:dyDescent="0.25">
      <c r="A7" s="85" t="s">
        <v>11</v>
      </c>
      <c r="B7" s="85"/>
      <c r="C7" s="85"/>
      <c r="D7" s="85"/>
      <c r="E7" s="85"/>
      <c r="F7" s="85"/>
    </row>
    <row r="8" spans="1:6" ht="21.75" customHeight="1" x14ac:dyDescent="0.25">
      <c r="A8" s="86" t="s">
        <v>12</v>
      </c>
      <c r="B8" s="86"/>
      <c r="C8" s="86"/>
      <c r="D8" s="86"/>
      <c r="E8" s="86"/>
      <c r="F8" s="86"/>
    </row>
    <row r="9" spans="1:6" ht="39.75" customHeight="1" x14ac:dyDescent="0.25">
      <c r="A9" s="2" t="s">
        <v>13</v>
      </c>
      <c r="B9" s="3" t="s">
        <v>14</v>
      </c>
      <c r="C9" s="4" t="s">
        <v>15</v>
      </c>
      <c r="D9" s="5"/>
      <c r="E9" s="6"/>
      <c r="F9" s="7" t="s">
        <v>16</v>
      </c>
    </row>
    <row r="10" spans="1:6" ht="39.75" customHeight="1" x14ac:dyDescent="0.25">
      <c r="A10" s="8" t="s">
        <v>17</v>
      </c>
      <c r="B10" s="9" t="s">
        <v>18</v>
      </c>
      <c r="C10" s="10" t="s">
        <v>19</v>
      </c>
      <c r="D10" s="11"/>
      <c r="E10" s="6"/>
      <c r="F10" s="12"/>
    </row>
    <row r="11" spans="1:6" ht="39.75" customHeight="1" x14ac:dyDescent="0.25">
      <c r="A11" s="2" t="s">
        <v>20</v>
      </c>
      <c r="B11" s="3" t="s">
        <v>21</v>
      </c>
      <c r="C11" s="4" t="s">
        <v>22</v>
      </c>
      <c r="D11" s="5"/>
      <c r="E11" s="6"/>
      <c r="F11" s="12"/>
    </row>
    <row r="12" spans="1:6" ht="39.75" customHeight="1" x14ac:dyDescent="0.25">
      <c r="A12" s="8" t="s">
        <v>23</v>
      </c>
      <c r="B12" s="9" t="s">
        <v>24</v>
      </c>
      <c r="C12" s="10" t="s">
        <v>25</v>
      </c>
      <c r="D12" s="11"/>
      <c r="E12" s="6"/>
      <c r="F12" s="12"/>
    </row>
    <row r="13" spans="1:6" ht="39.75" customHeight="1" x14ac:dyDescent="0.25">
      <c r="A13" s="2" t="s">
        <v>26</v>
      </c>
      <c r="B13" s="3" t="s">
        <v>27</v>
      </c>
      <c r="C13" s="4" t="s">
        <v>28</v>
      </c>
      <c r="D13" s="5"/>
      <c r="E13" s="6"/>
      <c r="F13" s="12"/>
    </row>
    <row r="14" spans="1:6" ht="19.5" customHeight="1" x14ac:dyDescent="0.25">
      <c r="A14" s="87" t="s">
        <v>29</v>
      </c>
      <c r="B14" s="87"/>
      <c r="C14" s="87"/>
      <c r="D14" s="87"/>
      <c r="E14" s="13" t="str">
        <f>IFERROR(AVERAGE(E9:E13)*0.25,"")</f>
        <v/>
      </c>
      <c r="F14" s="14"/>
    </row>
    <row r="15" spans="1:6" ht="21.75" customHeight="1" x14ac:dyDescent="0.25">
      <c r="A15" s="88" t="s">
        <v>30</v>
      </c>
      <c r="B15" s="88"/>
      <c r="C15" s="88"/>
      <c r="D15" s="88"/>
      <c r="E15" s="88"/>
      <c r="F15" s="88"/>
    </row>
    <row r="16" spans="1:6" ht="39.75" customHeight="1" x14ac:dyDescent="0.25">
      <c r="A16" s="15" t="s">
        <v>31</v>
      </c>
      <c r="B16" s="16" t="s">
        <v>32</v>
      </c>
      <c r="C16" s="17" t="s">
        <v>33</v>
      </c>
      <c r="D16" s="18"/>
      <c r="E16" s="6"/>
      <c r="F16" s="19" t="s">
        <v>16</v>
      </c>
    </row>
    <row r="17" spans="1:6" ht="39.75" customHeight="1" x14ac:dyDescent="0.25">
      <c r="A17" s="20" t="s">
        <v>34</v>
      </c>
      <c r="B17" s="9" t="s">
        <v>35</v>
      </c>
      <c r="C17" s="10" t="s">
        <v>36</v>
      </c>
      <c r="D17" s="11"/>
      <c r="E17" s="6"/>
      <c r="F17" s="21"/>
    </row>
    <row r="18" spans="1:6" ht="39.75" customHeight="1" x14ac:dyDescent="0.25">
      <c r="A18" s="15" t="s">
        <v>37</v>
      </c>
      <c r="B18" s="16" t="s">
        <v>38</v>
      </c>
      <c r="C18" s="17" t="s">
        <v>39</v>
      </c>
      <c r="D18" s="18"/>
      <c r="E18" s="6"/>
      <c r="F18" s="21"/>
    </row>
    <row r="19" spans="1:6" ht="39.75" customHeight="1" x14ac:dyDescent="0.25">
      <c r="A19" s="20" t="s">
        <v>40</v>
      </c>
      <c r="B19" s="9" t="s">
        <v>41</v>
      </c>
      <c r="C19" s="10" t="s">
        <v>42</v>
      </c>
      <c r="D19" s="11"/>
      <c r="E19" s="6"/>
      <c r="F19" s="21"/>
    </row>
    <row r="20" spans="1:6" ht="39.75" customHeight="1" x14ac:dyDescent="0.25">
      <c r="A20" s="15" t="s">
        <v>43</v>
      </c>
      <c r="B20" s="16" t="s">
        <v>44</v>
      </c>
      <c r="C20" s="17" t="s">
        <v>45</v>
      </c>
      <c r="D20" s="18"/>
      <c r="E20" s="6"/>
      <c r="F20" s="21"/>
    </row>
    <row r="21" spans="1:6" ht="19.5" customHeight="1" x14ac:dyDescent="0.25">
      <c r="A21" s="89" t="s">
        <v>46</v>
      </c>
      <c r="B21" s="89"/>
      <c r="C21" s="89"/>
      <c r="D21" s="89"/>
      <c r="E21" s="22" t="str">
        <f>IFERROR(AVERAGE(E16:E20)*0.25,"")</f>
        <v/>
      </c>
      <c r="F21" s="23"/>
    </row>
    <row r="22" spans="1:6" ht="21.75" customHeight="1" x14ac:dyDescent="0.25">
      <c r="A22" s="80" t="s">
        <v>47</v>
      </c>
      <c r="B22" s="80"/>
      <c r="C22" s="80"/>
      <c r="D22" s="80"/>
      <c r="E22" s="80"/>
      <c r="F22" s="80"/>
    </row>
    <row r="23" spans="1:6" ht="39.75" customHeight="1" x14ac:dyDescent="0.25">
      <c r="A23" s="24" t="s">
        <v>48</v>
      </c>
      <c r="B23" s="25" t="s">
        <v>49</v>
      </c>
      <c r="C23" s="26" t="s">
        <v>50</v>
      </c>
      <c r="D23" s="27"/>
      <c r="E23" s="6"/>
      <c r="F23" s="28" t="s">
        <v>16</v>
      </c>
    </row>
    <row r="24" spans="1:6" ht="39.75" customHeight="1" x14ac:dyDescent="0.25">
      <c r="A24" s="29" t="s">
        <v>51</v>
      </c>
      <c r="B24" s="9" t="s">
        <v>52</v>
      </c>
      <c r="C24" s="10" t="s">
        <v>53</v>
      </c>
      <c r="D24" s="11"/>
      <c r="E24" s="6"/>
      <c r="F24" s="30"/>
    </row>
    <row r="25" spans="1:6" ht="39.75" customHeight="1" x14ac:dyDescent="0.25">
      <c r="A25" s="24" t="s">
        <v>54</v>
      </c>
      <c r="B25" s="25" t="s">
        <v>55</v>
      </c>
      <c r="C25" s="26" t="s">
        <v>56</v>
      </c>
      <c r="D25" s="27"/>
      <c r="E25" s="6"/>
      <c r="F25" s="30"/>
    </row>
    <row r="26" spans="1:6" ht="39.75" customHeight="1" x14ac:dyDescent="0.25">
      <c r="A26" s="29" t="s">
        <v>57</v>
      </c>
      <c r="B26" s="9" t="s">
        <v>58</v>
      </c>
      <c r="C26" s="10" t="s">
        <v>59</v>
      </c>
      <c r="D26" s="11"/>
      <c r="E26" s="6"/>
      <c r="F26" s="30"/>
    </row>
    <row r="27" spans="1:6" ht="39.75" customHeight="1" x14ac:dyDescent="0.25">
      <c r="A27" s="24" t="s">
        <v>60</v>
      </c>
      <c r="B27" s="25" t="s">
        <v>61</v>
      </c>
      <c r="C27" s="26" t="s">
        <v>62</v>
      </c>
      <c r="D27" s="27"/>
      <c r="E27" s="6"/>
      <c r="F27" s="30"/>
    </row>
    <row r="28" spans="1:6" ht="19.5" customHeight="1" x14ac:dyDescent="0.25">
      <c r="A28" s="81" t="s">
        <v>63</v>
      </c>
      <c r="B28" s="81"/>
      <c r="C28" s="81"/>
      <c r="D28" s="81"/>
      <c r="E28" s="31" t="str">
        <f>IFERROR(AVERAGE(E23:E27)*0.25,"")</f>
        <v/>
      </c>
      <c r="F28" s="32"/>
    </row>
    <row r="29" spans="1:6" ht="21.75" customHeight="1" x14ac:dyDescent="0.25">
      <c r="A29" s="82" t="s">
        <v>64</v>
      </c>
      <c r="B29" s="82"/>
      <c r="C29" s="82"/>
      <c r="D29" s="82"/>
      <c r="E29" s="82"/>
      <c r="F29" s="82"/>
    </row>
    <row r="30" spans="1:6" ht="39.75" customHeight="1" x14ac:dyDescent="0.25">
      <c r="A30" s="33" t="s">
        <v>65</v>
      </c>
      <c r="B30" s="34" t="s">
        <v>66</v>
      </c>
      <c r="C30" s="35" t="s">
        <v>67</v>
      </c>
      <c r="D30" s="36"/>
      <c r="E30" s="6"/>
      <c r="F30" s="37" t="s">
        <v>16</v>
      </c>
    </row>
    <row r="31" spans="1:6" ht="39.75" customHeight="1" x14ac:dyDescent="0.25">
      <c r="A31" s="38" t="s">
        <v>68</v>
      </c>
      <c r="B31" s="9" t="s">
        <v>69</v>
      </c>
      <c r="C31" s="10" t="s">
        <v>70</v>
      </c>
      <c r="D31" s="11"/>
      <c r="E31" s="6"/>
      <c r="F31" s="39"/>
    </row>
    <row r="32" spans="1:6" ht="39.75" customHeight="1" x14ac:dyDescent="0.25">
      <c r="A32" s="33" t="s">
        <v>71</v>
      </c>
      <c r="B32" s="34" t="s">
        <v>72</v>
      </c>
      <c r="C32" s="35" t="s">
        <v>73</v>
      </c>
      <c r="D32" s="36"/>
      <c r="E32" s="6"/>
      <c r="F32" s="39"/>
    </row>
    <row r="33" spans="1:6" ht="39.75" customHeight="1" x14ac:dyDescent="0.25">
      <c r="A33" s="38" t="s">
        <v>74</v>
      </c>
      <c r="B33" s="9" t="s">
        <v>75</v>
      </c>
      <c r="C33" s="10" t="s">
        <v>76</v>
      </c>
      <c r="D33" s="11"/>
      <c r="E33" s="6"/>
      <c r="F33" s="39"/>
    </row>
    <row r="34" spans="1:6" ht="39.75" customHeight="1" x14ac:dyDescent="0.25">
      <c r="A34" s="33" t="s">
        <v>77</v>
      </c>
      <c r="B34" s="34" t="s">
        <v>78</v>
      </c>
      <c r="C34" s="35" t="s">
        <v>79</v>
      </c>
      <c r="D34" s="36"/>
      <c r="E34" s="6"/>
      <c r="F34" s="39"/>
    </row>
    <row r="35" spans="1:6" ht="19.5" customHeight="1" x14ac:dyDescent="0.25">
      <c r="A35" s="83" t="s">
        <v>80</v>
      </c>
      <c r="B35" s="83"/>
      <c r="C35" s="83"/>
      <c r="D35" s="83"/>
      <c r="E35" s="40" t="str">
        <f>IFERROR(AVERAGE(E30:E34)*0.25,"")</f>
        <v/>
      </c>
      <c r="F35" s="41"/>
    </row>
    <row r="37" spans="1:6" ht="27.75" customHeight="1" x14ac:dyDescent="0.25">
      <c r="A37" s="84" t="s">
        <v>81</v>
      </c>
      <c r="B37" s="84"/>
      <c r="C37" s="84"/>
      <c r="D37" s="84"/>
      <c r="E37" s="42" t="str">
        <f>IFERROR(E14+E21+E28+E35,"")</f>
        <v/>
      </c>
      <c r="F37" s="43"/>
    </row>
    <row r="38" spans="1:6" ht="31.5" customHeight="1" x14ac:dyDescent="0.25"/>
    <row r="39" spans="1:6" ht="25.5" customHeight="1" x14ac:dyDescent="0.25">
      <c r="A39" s="76" t="s">
        <v>82</v>
      </c>
      <c r="B39" s="76"/>
      <c r="C39" s="76"/>
      <c r="D39" s="76"/>
      <c r="E39" s="76"/>
      <c r="F39" s="76"/>
    </row>
    <row r="41" spans="1:6" ht="18" customHeight="1" x14ac:dyDescent="0.25">
      <c r="A41" s="77" t="s">
        <v>83</v>
      </c>
      <c r="B41" s="77"/>
      <c r="C41" s="77"/>
      <c r="D41" s="77"/>
      <c r="E41" s="77"/>
      <c r="F41" s="77"/>
    </row>
    <row r="42" spans="1:6" ht="19.5" customHeight="1" x14ac:dyDescent="0.25">
      <c r="A42" s="78" t="s">
        <v>84</v>
      </c>
      <c r="B42" s="78"/>
      <c r="C42" s="78"/>
      <c r="D42" s="78"/>
      <c r="E42" s="78"/>
      <c r="F42" s="78"/>
    </row>
    <row r="44" spans="1:6" ht="18" customHeight="1" x14ac:dyDescent="0.25">
      <c r="A44" s="79" t="s">
        <v>85</v>
      </c>
      <c r="B44" s="79"/>
      <c r="C44" s="79"/>
      <c r="D44" s="79"/>
      <c r="E44" s="79"/>
      <c r="F44" s="79"/>
    </row>
    <row r="45" spans="1:6" ht="18" customHeight="1" x14ac:dyDescent="0.25">
      <c r="A45" s="75"/>
      <c r="B45" s="75"/>
      <c r="C45" s="75"/>
      <c r="D45" s="75"/>
      <c r="E45" s="75"/>
      <c r="F45" s="75"/>
    </row>
    <row r="46" spans="1:6" ht="18" customHeight="1" x14ac:dyDescent="0.25">
      <c r="A46" s="75"/>
      <c r="B46" s="75"/>
      <c r="C46" s="75"/>
      <c r="D46" s="75"/>
      <c r="E46" s="75"/>
      <c r="F46" s="75"/>
    </row>
    <row r="47" spans="1:6" ht="18" customHeight="1" x14ac:dyDescent="0.25">
      <c r="A47" s="75"/>
      <c r="B47" s="75"/>
      <c r="C47" s="75"/>
      <c r="D47" s="75"/>
      <c r="E47" s="75"/>
      <c r="F47" s="75"/>
    </row>
    <row r="48" spans="1:6" ht="18" customHeight="1" x14ac:dyDescent="0.25">
      <c r="A48" s="75"/>
      <c r="B48" s="75"/>
      <c r="C48" s="75"/>
      <c r="D48" s="75"/>
      <c r="E48" s="75"/>
      <c r="F48" s="75"/>
    </row>
  </sheetData>
  <mergeCells count="23">
    <mergeCell ref="A1:F1"/>
    <mergeCell ref="A2:F2"/>
    <mergeCell ref="A4:B4"/>
    <mergeCell ref="C4:D4"/>
    <mergeCell ref="E4:F4"/>
    <mergeCell ref="A7:F7"/>
    <mergeCell ref="A8:F8"/>
    <mergeCell ref="A14:D14"/>
    <mergeCell ref="A15:F15"/>
    <mergeCell ref="A21:D21"/>
    <mergeCell ref="A22:F22"/>
    <mergeCell ref="A28:D28"/>
    <mergeCell ref="A29:F29"/>
    <mergeCell ref="A35:D35"/>
    <mergeCell ref="A37:D37"/>
    <mergeCell ref="A46:F46"/>
    <mergeCell ref="A47:F47"/>
    <mergeCell ref="A48:F48"/>
    <mergeCell ref="A39:F39"/>
    <mergeCell ref="A41:F41"/>
    <mergeCell ref="A42:F42"/>
    <mergeCell ref="A44:F44"/>
    <mergeCell ref="A45:F45"/>
  </mergeCells>
  <dataValidations count="1">
    <dataValidation type="whole" showErrorMessage="1" errorTitle="Invalid" error="Enter a whole number 1–5." sqref="E9:E13 E16:E20 E23:E27 E30:E34" xr:uid="{00000000-0002-0000-0000-000000000000}">
      <formula1>1</formula1>
      <formula2>5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ToDatabase">
                <anchor moveWithCells="1" sizeWithCells="1">
                  <from>
                    <xdr:col>0</xdr:col>
                    <xdr:colOff>28575</xdr:colOff>
                    <xdr:row>37</xdr:row>
                    <xdr:rowOff>38100</xdr:rowOff>
                  </from>
                  <to>
                    <xdr:col>5</xdr:col>
                    <xdr:colOff>904875</xdr:colOff>
                    <xdr:row>37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41"/>
  <sheetViews>
    <sheetView showGridLines="0" zoomScaleNormal="100" workbookViewId="0">
      <selection sqref="A1:I1"/>
    </sheetView>
  </sheetViews>
  <sheetFormatPr defaultColWidth="8.7109375" defaultRowHeight="15" x14ac:dyDescent="0.25"/>
  <cols>
    <col min="1" max="1" width="4" customWidth="1"/>
    <col min="2" max="2" width="26" customWidth="1"/>
    <col min="3" max="3" width="18" customWidth="1"/>
    <col min="4" max="7" width="16" customWidth="1"/>
    <col min="8" max="8" width="20" customWidth="1"/>
    <col min="9" max="9" width="22" customWidth="1"/>
  </cols>
  <sheetData>
    <row r="1" spans="1:9" ht="33.75" customHeight="1" x14ac:dyDescent="0.25">
      <c r="A1" s="104" t="s">
        <v>86</v>
      </c>
      <c r="B1" s="104"/>
      <c r="C1" s="104"/>
      <c r="D1" s="104"/>
      <c r="E1" s="104"/>
      <c r="F1" s="104"/>
      <c r="G1" s="104"/>
      <c r="H1" s="104"/>
      <c r="I1" s="104"/>
    </row>
    <row r="2" spans="1:9" ht="18" customHeight="1" x14ac:dyDescent="0.25">
      <c r="A2" s="105" t="s">
        <v>87</v>
      </c>
      <c r="B2" s="105"/>
      <c r="C2" s="105"/>
      <c r="D2" s="105"/>
      <c r="E2" s="105"/>
      <c r="F2" s="105"/>
      <c r="G2" s="105"/>
      <c r="H2" s="105"/>
      <c r="I2" s="105"/>
    </row>
    <row r="3" spans="1:9" ht="7.5" customHeight="1" x14ac:dyDescent="0.25"/>
    <row r="4" spans="1:9" ht="36" customHeight="1" x14ac:dyDescent="0.25">
      <c r="A4" s="44" t="s">
        <v>5</v>
      </c>
      <c r="B4" s="44" t="s">
        <v>88</v>
      </c>
      <c r="C4" s="45" t="s">
        <v>89</v>
      </c>
      <c r="D4" s="46" t="s">
        <v>90</v>
      </c>
      <c r="E4" s="47" t="s">
        <v>91</v>
      </c>
      <c r="F4" s="48" t="s">
        <v>92</v>
      </c>
      <c r="G4" s="49" t="s">
        <v>93</v>
      </c>
      <c r="H4" s="49" t="s">
        <v>94</v>
      </c>
      <c r="I4" s="50" t="s">
        <v>95</v>
      </c>
    </row>
    <row r="5" spans="1:9" ht="19.5" customHeight="1" x14ac:dyDescent="0.25">
      <c r="A5" s="87" t="s">
        <v>12</v>
      </c>
      <c r="B5" s="87"/>
      <c r="C5" s="87"/>
      <c r="D5" s="87"/>
      <c r="E5" s="87"/>
      <c r="F5" s="87"/>
      <c r="G5" s="87"/>
      <c r="H5" s="87"/>
      <c r="I5" s="87"/>
    </row>
    <row r="6" spans="1:9" ht="21.75" customHeight="1" x14ac:dyDescent="0.25">
      <c r="A6" s="2" t="s">
        <v>13</v>
      </c>
      <c r="B6" s="4" t="s">
        <v>14</v>
      </c>
      <c r="C6" s="51">
        <f>Questionnaire!E9</f>
        <v>0</v>
      </c>
      <c r="D6" s="52" t="s">
        <v>96</v>
      </c>
      <c r="E6" s="52" t="s">
        <v>96</v>
      </c>
      <c r="F6" s="52" t="s">
        <v>96</v>
      </c>
      <c r="G6" s="53">
        <f>Questionnaire!E9</f>
        <v>0</v>
      </c>
      <c r="H6" s="54">
        <f>IFERROR(Questionnaire!E9*0.05,"")</f>
        <v>0</v>
      </c>
      <c r="I6" s="2" t="str">
        <f>IFERROR(IF(Questionnaire!E9="","",CHOOSE(MIN(5,MAX(1,Questionnaire!E9)),"Well Below","Below","Meets","Exceeds","Exceptional")),"–")</f>
        <v/>
      </c>
    </row>
    <row r="7" spans="1:9" ht="21.75" customHeight="1" x14ac:dyDescent="0.25">
      <c r="A7" s="8" t="s">
        <v>17</v>
      </c>
      <c r="B7" s="10" t="s">
        <v>18</v>
      </c>
      <c r="C7" s="51">
        <f>Questionnaire!E10</f>
        <v>0</v>
      </c>
      <c r="D7" s="55" t="s">
        <v>96</v>
      </c>
      <c r="E7" s="55" t="s">
        <v>96</v>
      </c>
      <c r="F7" s="55" t="s">
        <v>96</v>
      </c>
      <c r="G7" s="53">
        <f>Questionnaire!E10</f>
        <v>0</v>
      </c>
      <c r="H7" s="54">
        <f>IFERROR(Questionnaire!E10*0.05,"")</f>
        <v>0</v>
      </c>
      <c r="I7" s="8" t="str">
        <f>IFERROR(IF(Questionnaire!E10="","",CHOOSE(MIN(5,MAX(1,Questionnaire!E10)),"Well Below","Below","Meets","Exceeds","Exceptional")),"–")</f>
        <v/>
      </c>
    </row>
    <row r="8" spans="1:9" ht="21.75" customHeight="1" x14ac:dyDescent="0.25">
      <c r="A8" s="2" t="s">
        <v>20</v>
      </c>
      <c r="B8" s="4" t="s">
        <v>21</v>
      </c>
      <c r="C8" s="51">
        <f>Questionnaire!E11</f>
        <v>0</v>
      </c>
      <c r="D8" s="52" t="s">
        <v>96</v>
      </c>
      <c r="E8" s="52" t="s">
        <v>96</v>
      </c>
      <c r="F8" s="52" t="s">
        <v>96</v>
      </c>
      <c r="G8" s="53">
        <f>Questionnaire!E11</f>
        <v>0</v>
      </c>
      <c r="H8" s="54">
        <f>IFERROR(Questionnaire!E11*0.05,"")</f>
        <v>0</v>
      </c>
      <c r="I8" s="2" t="str">
        <f>IFERROR(IF(Questionnaire!E11="","",CHOOSE(MIN(5,MAX(1,Questionnaire!E11)),"Well Below","Below","Meets","Exceeds","Exceptional")),"–")</f>
        <v/>
      </c>
    </row>
    <row r="9" spans="1:9" ht="21.75" customHeight="1" x14ac:dyDescent="0.25">
      <c r="A9" s="8" t="s">
        <v>23</v>
      </c>
      <c r="B9" s="10" t="s">
        <v>24</v>
      </c>
      <c r="C9" s="51">
        <f>Questionnaire!E12</f>
        <v>0</v>
      </c>
      <c r="D9" s="55" t="s">
        <v>96</v>
      </c>
      <c r="E9" s="55" t="s">
        <v>96</v>
      </c>
      <c r="F9" s="55" t="s">
        <v>96</v>
      </c>
      <c r="G9" s="53">
        <f>Questionnaire!E12</f>
        <v>0</v>
      </c>
      <c r="H9" s="54">
        <f>IFERROR(Questionnaire!E12*0.05,"")</f>
        <v>0</v>
      </c>
      <c r="I9" s="8" t="str">
        <f>IFERROR(IF(Questionnaire!E12="","",CHOOSE(MIN(5,MAX(1,Questionnaire!E12)),"Well Below","Below","Meets","Exceeds","Exceptional")),"–")</f>
        <v/>
      </c>
    </row>
    <row r="10" spans="1:9" ht="21.75" customHeight="1" x14ac:dyDescent="0.25">
      <c r="A10" s="2" t="s">
        <v>26</v>
      </c>
      <c r="B10" s="4" t="s">
        <v>27</v>
      </c>
      <c r="C10" s="51">
        <f>Questionnaire!E13</f>
        <v>0</v>
      </c>
      <c r="D10" s="52" t="s">
        <v>96</v>
      </c>
      <c r="E10" s="52" t="s">
        <v>96</v>
      </c>
      <c r="F10" s="52" t="s">
        <v>96</v>
      </c>
      <c r="G10" s="53">
        <f>Questionnaire!E13</f>
        <v>0</v>
      </c>
      <c r="H10" s="54">
        <f>IFERROR(Questionnaire!E13*0.05,"")</f>
        <v>0</v>
      </c>
      <c r="I10" s="2" t="str">
        <f>IFERROR(IF(Questionnaire!E13="","",CHOOSE(MIN(5,MAX(1,Questionnaire!E13)),"Well Below","Below","Meets","Exceeds","Exceptional")),"–")</f>
        <v/>
      </c>
    </row>
    <row r="11" spans="1:9" ht="19.5" customHeight="1" x14ac:dyDescent="0.25">
      <c r="A11" s="106" t="s">
        <v>97</v>
      </c>
      <c r="B11" s="106"/>
      <c r="C11" s="13">
        <f>IFERROR(AVERAGE(C6:C10),"")</f>
        <v>0</v>
      </c>
      <c r="D11" s="56"/>
      <c r="E11" s="56"/>
      <c r="F11" s="56"/>
      <c r="G11" s="13">
        <f>IFERROR(AVERAGE(C6:C10),"")</f>
        <v>0</v>
      </c>
      <c r="H11" s="13">
        <f>IFERROR(C11*0.25,"")</f>
        <v>0</v>
      </c>
      <c r="I11" s="56"/>
    </row>
    <row r="12" spans="1:9" ht="19.5" customHeight="1" x14ac:dyDescent="0.25">
      <c r="A12" s="89" t="s">
        <v>30</v>
      </c>
      <c r="B12" s="89"/>
      <c r="C12" s="89"/>
      <c r="D12" s="89"/>
      <c r="E12" s="89"/>
      <c r="F12" s="89"/>
      <c r="G12" s="89"/>
      <c r="H12" s="89"/>
      <c r="I12" s="89"/>
    </row>
    <row r="13" spans="1:9" ht="21.75" customHeight="1" x14ac:dyDescent="0.25">
      <c r="A13" s="15" t="s">
        <v>31</v>
      </c>
      <c r="B13" s="17" t="s">
        <v>32</v>
      </c>
      <c r="C13" s="57" t="s">
        <v>96</v>
      </c>
      <c r="D13" s="51">
        <f>Questionnaire!E16</f>
        <v>0</v>
      </c>
      <c r="E13" s="57" t="s">
        <v>96</v>
      </c>
      <c r="F13" s="57" t="s">
        <v>96</v>
      </c>
      <c r="G13" s="53">
        <f>Questionnaire!E16</f>
        <v>0</v>
      </c>
      <c r="H13" s="54">
        <f>IFERROR(Questionnaire!E16*0.05,"")</f>
        <v>0</v>
      </c>
      <c r="I13" s="15" t="str">
        <f>IFERROR(IF(Questionnaire!E16="","",CHOOSE(MIN(5,MAX(1,Questionnaire!E16)),"Well Below","Below","Meets","Exceeds","Exceptional")),"–")</f>
        <v/>
      </c>
    </row>
    <row r="14" spans="1:9" ht="21.75" customHeight="1" x14ac:dyDescent="0.25">
      <c r="A14" s="20" t="s">
        <v>34</v>
      </c>
      <c r="B14" s="10" t="s">
        <v>35</v>
      </c>
      <c r="C14" s="55" t="s">
        <v>96</v>
      </c>
      <c r="D14" s="51">
        <f>Questionnaire!E17</f>
        <v>0</v>
      </c>
      <c r="E14" s="55" t="s">
        <v>96</v>
      </c>
      <c r="F14" s="55" t="s">
        <v>96</v>
      </c>
      <c r="G14" s="53">
        <f>Questionnaire!E17</f>
        <v>0</v>
      </c>
      <c r="H14" s="54">
        <f>IFERROR(Questionnaire!E17*0.05,"")</f>
        <v>0</v>
      </c>
      <c r="I14" s="20" t="str">
        <f>IFERROR(IF(Questionnaire!E17="","",CHOOSE(MIN(5,MAX(1,Questionnaire!E17)),"Well Below","Below","Meets","Exceeds","Exceptional")),"–")</f>
        <v/>
      </c>
    </row>
    <row r="15" spans="1:9" ht="21.75" customHeight="1" x14ac:dyDescent="0.25">
      <c r="A15" s="15" t="s">
        <v>37</v>
      </c>
      <c r="B15" s="17" t="s">
        <v>38</v>
      </c>
      <c r="C15" s="57" t="s">
        <v>96</v>
      </c>
      <c r="D15" s="51">
        <f>Questionnaire!E18</f>
        <v>0</v>
      </c>
      <c r="E15" s="57" t="s">
        <v>96</v>
      </c>
      <c r="F15" s="57" t="s">
        <v>96</v>
      </c>
      <c r="G15" s="53">
        <f>Questionnaire!E18</f>
        <v>0</v>
      </c>
      <c r="H15" s="54">
        <f>IFERROR(Questionnaire!E18*0.05,"")</f>
        <v>0</v>
      </c>
      <c r="I15" s="15" t="str">
        <f>IFERROR(IF(Questionnaire!E18="","",CHOOSE(MIN(5,MAX(1,Questionnaire!E18)),"Well Below","Below","Meets","Exceeds","Exceptional")),"–")</f>
        <v/>
      </c>
    </row>
    <row r="16" spans="1:9" ht="21.75" customHeight="1" x14ac:dyDescent="0.25">
      <c r="A16" s="20" t="s">
        <v>40</v>
      </c>
      <c r="B16" s="10" t="s">
        <v>41</v>
      </c>
      <c r="C16" s="55" t="s">
        <v>96</v>
      </c>
      <c r="D16" s="51">
        <f>Questionnaire!E19</f>
        <v>0</v>
      </c>
      <c r="E16" s="55" t="s">
        <v>96</v>
      </c>
      <c r="F16" s="55" t="s">
        <v>96</v>
      </c>
      <c r="G16" s="53">
        <f>Questionnaire!E19</f>
        <v>0</v>
      </c>
      <c r="H16" s="54">
        <f>IFERROR(Questionnaire!E19*0.05,"")</f>
        <v>0</v>
      </c>
      <c r="I16" s="20" t="str">
        <f>IFERROR(IF(Questionnaire!E19="","",CHOOSE(MIN(5,MAX(1,Questionnaire!E19)),"Well Below","Below","Meets","Exceeds","Exceptional")),"–")</f>
        <v/>
      </c>
    </row>
    <row r="17" spans="1:9" ht="21.75" customHeight="1" x14ac:dyDescent="0.25">
      <c r="A17" s="15" t="s">
        <v>43</v>
      </c>
      <c r="B17" s="17" t="s">
        <v>44</v>
      </c>
      <c r="C17" s="57" t="s">
        <v>96</v>
      </c>
      <c r="D17" s="51">
        <f>Questionnaire!E20</f>
        <v>0</v>
      </c>
      <c r="E17" s="57" t="s">
        <v>96</v>
      </c>
      <c r="F17" s="57" t="s">
        <v>96</v>
      </c>
      <c r="G17" s="53">
        <f>Questionnaire!E20</f>
        <v>0</v>
      </c>
      <c r="H17" s="54">
        <f>IFERROR(Questionnaire!E20*0.05,"")</f>
        <v>0</v>
      </c>
      <c r="I17" s="15" t="str">
        <f>IFERROR(IF(Questionnaire!E20="","",CHOOSE(MIN(5,MAX(1,Questionnaire!E20)),"Well Below","Below","Meets","Exceeds","Exceptional")),"–")</f>
        <v/>
      </c>
    </row>
    <row r="18" spans="1:9" ht="19.5" customHeight="1" x14ac:dyDescent="0.25">
      <c r="A18" s="101" t="s">
        <v>98</v>
      </c>
      <c r="B18" s="101"/>
      <c r="C18" s="58"/>
      <c r="D18" s="22">
        <f>IFERROR(AVERAGE(D13:D17),"")</f>
        <v>0</v>
      </c>
      <c r="E18" s="58"/>
      <c r="F18" s="58"/>
      <c r="G18" s="22">
        <f>IFERROR(AVERAGE(D13:D17),"")</f>
        <v>0</v>
      </c>
      <c r="H18" s="22">
        <f>IFERROR(D18*0.25,"")</f>
        <v>0</v>
      </c>
      <c r="I18" s="58"/>
    </row>
    <row r="19" spans="1:9" ht="19.5" customHeight="1" x14ac:dyDescent="0.25">
      <c r="A19" s="81" t="s">
        <v>47</v>
      </c>
      <c r="B19" s="81"/>
      <c r="C19" s="81"/>
      <c r="D19" s="81"/>
      <c r="E19" s="81"/>
      <c r="F19" s="81"/>
      <c r="G19" s="81"/>
      <c r="H19" s="81"/>
      <c r="I19" s="81"/>
    </row>
    <row r="20" spans="1:9" ht="21.75" customHeight="1" x14ac:dyDescent="0.25">
      <c r="A20" s="24" t="s">
        <v>48</v>
      </c>
      <c r="B20" s="26" t="s">
        <v>49</v>
      </c>
      <c r="C20" s="59" t="s">
        <v>96</v>
      </c>
      <c r="D20" s="59" t="s">
        <v>96</v>
      </c>
      <c r="E20" s="51">
        <f>Questionnaire!E23</f>
        <v>0</v>
      </c>
      <c r="F20" s="59" t="s">
        <v>96</v>
      </c>
      <c r="G20" s="53">
        <f>Questionnaire!E23</f>
        <v>0</v>
      </c>
      <c r="H20" s="54">
        <f>IFERROR(Questionnaire!E23*0.05,"")</f>
        <v>0</v>
      </c>
      <c r="I20" s="24" t="str">
        <f>IFERROR(IF(Questionnaire!E23="","",CHOOSE(MIN(5,MAX(1,Questionnaire!E23)),"Well Below","Below","Meets","Exceeds","Exceptional")),"–")</f>
        <v/>
      </c>
    </row>
    <row r="21" spans="1:9" ht="21.75" customHeight="1" x14ac:dyDescent="0.25">
      <c r="A21" s="29" t="s">
        <v>51</v>
      </c>
      <c r="B21" s="10" t="s">
        <v>52</v>
      </c>
      <c r="C21" s="55" t="s">
        <v>96</v>
      </c>
      <c r="D21" s="55" t="s">
        <v>96</v>
      </c>
      <c r="E21" s="51">
        <f>Questionnaire!E24</f>
        <v>0</v>
      </c>
      <c r="F21" s="55" t="s">
        <v>96</v>
      </c>
      <c r="G21" s="53">
        <f>Questionnaire!E24</f>
        <v>0</v>
      </c>
      <c r="H21" s="54">
        <f>IFERROR(Questionnaire!E24*0.05,"")</f>
        <v>0</v>
      </c>
      <c r="I21" s="29" t="str">
        <f>IFERROR(IF(Questionnaire!E24="","",CHOOSE(MIN(5,MAX(1,Questionnaire!E24)),"Well Below","Below","Meets","Exceeds","Exceptional")),"–")</f>
        <v/>
      </c>
    </row>
    <row r="22" spans="1:9" ht="21.75" customHeight="1" x14ac:dyDescent="0.25">
      <c r="A22" s="24" t="s">
        <v>54</v>
      </c>
      <c r="B22" s="26" t="s">
        <v>55</v>
      </c>
      <c r="C22" s="59" t="s">
        <v>96</v>
      </c>
      <c r="D22" s="59" t="s">
        <v>96</v>
      </c>
      <c r="E22" s="51">
        <f>Questionnaire!E25</f>
        <v>0</v>
      </c>
      <c r="F22" s="59" t="s">
        <v>96</v>
      </c>
      <c r="G22" s="53">
        <f>Questionnaire!E25</f>
        <v>0</v>
      </c>
      <c r="H22" s="54">
        <f>IFERROR(Questionnaire!E25*0.05,"")</f>
        <v>0</v>
      </c>
      <c r="I22" s="24" t="str">
        <f>IFERROR(IF(Questionnaire!E25="","",CHOOSE(MIN(5,MAX(1,Questionnaire!E25)),"Well Below","Below","Meets","Exceeds","Exceptional")),"–")</f>
        <v/>
      </c>
    </row>
    <row r="23" spans="1:9" ht="21.75" customHeight="1" x14ac:dyDescent="0.25">
      <c r="A23" s="29" t="s">
        <v>57</v>
      </c>
      <c r="B23" s="10" t="s">
        <v>58</v>
      </c>
      <c r="C23" s="55" t="s">
        <v>96</v>
      </c>
      <c r="D23" s="55" t="s">
        <v>96</v>
      </c>
      <c r="E23" s="51">
        <f>Questionnaire!E26</f>
        <v>0</v>
      </c>
      <c r="F23" s="55" t="s">
        <v>96</v>
      </c>
      <c r="G23" s="53">
        <f>Questionnaire!E26</f>
        <v>0</v>
      </c>
      <c r="H23" s="54">
        <f>IFERROR(Questionnaire!E26*0.05,"")</f>
        <v>0</v>
      </c>
      <c r="I23" s="29" t="str">
        <f>IFERROR(IF(Questionnaire!E26="","",CHOOSE(MIN(5,MAX(1,Questionnaire!E26)),"Well Below","Below","Meets","Exceeds","Exceptional")),"–")</f>
        <v/>
      </c>
    </row>
    <row r="24" spans="1:9" ht="21.75" customHeight="1" x14ac:dyDescent="0.25">
      <c r="A24" s="24" t="s">
        <v>60</v>
      </c>
      <c r="B24" s="26" t="s">
        <v>61</v>
      </c>
      <c r="C24" s="59" t="s">
        <v>96</v>
      </c>
      <c r="D24" s="59" t="s">
        <v>96</v>
      </c>
      <c r="E24" s="51">
        <f>Questionnaire!E27</f>
        <v>0</v>
      </c>
      <c r="F24" s="59" t="s">
        <v>96</v>
      </c>
      <c r="G24" s="53">
        <f>Questionnaire!E27</f>
        <v>0</v>
      </c>
      <c r="H24" s="54">
        <f>IFERROR(Questionnaire!E27*0.05,"")</f>
        <v>0</v>
      </c>
      <c r="I24" s="24" t="str">
        <f>IFERROR(IF(Questionnaire!E27="","",CHOOSE(MIN(5,MAX(1,Questionnaire!E27)),"Well Below","Below","Meets","Exceeds","Exceptional")),"–")</f>
        <v/>
      </c>
    </row>
    <row r="25" spans="1:9" ht="19.5" customHeight="1" x14ac:dyDescent="0.25">
      <c r="A25" s="102" t="s">
        <v>99</v>
      </c>
      <c r="B25" s="102"/>
      <c r="C25" s="60"/>
      <c r="D25" s="60"/>
      <c r="E25" s="31">
        <f>IFERROR(AVERAGE(E20:E24),"")</f>
        <v>0</v>
      </c>
      <c r="F25" s="60"/>
      <c r="G25" s="31">
        <f>IFERROR(AVERAGE(E20:E24),"")</f>
        <v>0</v>
      </c>
      <c r="H25" s="31">
        <f>IFERROR(E25*0.25,"")</f>
        <v>0</v>
      </c>
      <c r="I25" s="60"/>
    </row>
    <row r="26" spans="1:9" ht="19.5" customHeight="1" x14ac:dyDescent="0.25">
      <c r="A26" s="83" t="s">
        <v>64</v>
      </c>
      <c r="B26" s="83"/>
      <c r="C26" s="83"/>
      <c r="D26" s="83"/>
      <c r="E26" s="83"/>
      <c r="F26" s="83"/>
      <c r="G26" s="83"/>
      <c r="H26" s="83"/>
      <c r="I26" s="83"/>
    </row>
    <row r="27" spans="1:9" ht="21.75" customHeight="1" x14ac:dyDescent="0.25">
      <c r="A27" s="33" t="s">
        <v>65</v>
      </c>
      <c r="B27" s="35" t="s">
        <v>66</v>
      </c>
      <c r="C27" s="61" t="s">
        <v>96</v>
      </c>
      <c r="D27" s="61" t="s">
        <v>96</v>
      </c>
      <c r="E27" s="61" t="s">
        <v>96</v>
      </c>
      <c r="F27" s="51">
        <f>Questionnaire!E30</f>
        <v>0</v>
      </c>
      <c r="G27" s="53">
        <f>Questionnaire!E30</f>
        <v>0</v>
      </c>
      <c r="H27" s="54">
        <f>IFERROR(Questionnaire!E30*0.05,"")</f>
        <v>0</v>
      </c>
      <c r="I27" s="33" t="str">
        <f>IFERROR(IF(Questionnaire!E30="","",CHOOSE(MIN(5,MAX(1,Questionnaire!E30)),"Well Below","Below","Meets","Exceeds","Exceptional")),"–")</f>
        <v/>
      </c>
    </row>
    <row r="28" spans="1:9" ht="21.75" customHeight="1" x14ac:dyDescent="0.25">
      <c r="A28" s="38" t="s">
        <v>68</v>
      </c>
      <c r="B28" s="10" t="s">
        <v>69</v>
      </c>
      <c r="C28" s="55" t="s">
        <v>96</v>
      </c>
      <c r="D28" s="55" t="s">
        <v>96</v>
      </c>
      <c r="E28" s="55" t="s">
        <v>96</v>
      </c>
      <c r="F28" s="51">
        <f>Questionnaire!E31</f>
        <v>0</v>
      </c>
      <c r="G28" s="53">
        <f>Questionnaire!E31</f>
        <v>0</v>
      </c>
      <c r="H28" s="54">
        <f>IFERROR(Questionnaire!E31*0.05,"")</f>
        <v>0</v>
      </c>
      <c r="I28" s="38" t="str">
        <f>IFERROR(IF(Questionnaire!E31="","",CHOOSE(MIN(5,MAX(1,Questionnaire!E31)),"Well Below","Below","Meets","Exceeds","Exceptional")),"–")</f>
        <v/>
      </c>
    </row>
    <row r="29" spans="1:9" ht="21.75" customHeight="1" x14ac:dyDescent="0.25">
      <c r="A29" s="33" t="s">
        <v>71</v>
      </c>
      <c r="B29" s="35" t="s">
        <v>72</v>
      </c>
      <c r="C29" s="61" t="s">
        <v>96</v>
      </c>
      <c r="D29" s="61" t="s">
        <v>96</v>
      </c>
      <c r="E29" s="61" t="s">
        <v>96</v>
      </c>
      <c r="F29" s="51">
        <f>Questionnaire!E32</f>
        <v>0</v>
      </c>
      <c r="G29" s="53">
        <f>Questionnaire!E32</f>
        <v>0</v>
      </c>
      <c r="H29" s="54">
        <f>IFERROR(Questionnaire!E32*0.05,"")</f>
        <v>0</v>
      </c>
      <c r="I29" s="33" t="str">
        <f>IFERROR(IF(Questionnaire!E32="","",CHOOSE(MIN(5,MAX(1,Questionnaire!E32)),"Well Below","Below","Meets","Exceeds","Exceptional")),"–")</f>
        <v/>
      </c>
    </row>
    <row r="30" spans="1:9" ht="21.75" customHeight="1" x14ac:dyDescent="0.25">
      <c r="A30" s="38" t="s">
        <v>74</v>
      </c>
      <c r="B30" s="10" t="s">
        <v>75</v>
      </c>
      <c r="C30" s="55" t="s">
        <v>96</v>
      </c>
      <c r="D30" s="55" t="s">
        <v>96</v>
      </c>
      <c r="E30" s="55" t="s">
        <v>96</v>
      </c>
      <c r="F30" s="51">
        <f>Questionnaire!E33</f>
        <v>0</v>
      </c>
      <c r="G30" s="53">
        <f>Questionnaire!E33</f>
        <v>0</v>
      </c>
      <c r="H30" s="54">
        <f>IFERROR(Questionnaire!E33*0.05,"")</f>
        <v>0</v>
      </c>
      <c r="I30" s="38" t="str">
        <f>IFERROR(IF(Questionnaire!E33="","",CHOOSE(MIN(5,MAX(1,Questionnaire!E33)),"Well Below","Below","Meets","Exceeds","Exceptional")),"–")</f>
        <v/>
      </c>
    </row>
    <row r="31" spans="1:9" ht="21.75" customHeight="1" x14ac:dyDescent="0.25">
      <c r="A31" s="33" t="s">
        <v>77</v>
      </c>
      <c r="B31" s="35" t="s">
        <v>78</v>
      </c>
      <c r="C31" s="61" t="s">
        <v>96</v>
      </c>
      <c r="D31" s="61" t="s">
        <v>96</v>
      </c>
      <c r="E31" s="61" t="s">
        <v>96</v>
      </c>
      <c r="F31" s="51">
        <f>Questionnaire!E34</f>
        <v>0</v>
      </c>
      <c r="G31" s="53">
        <f>Questionnaire!E34</f>
        <v>0</v>
      </c>
      <c r="H31" s="54">
        <f>IFERROR(Questionnaire!E34*0.05,"")</f>
        <v>0</v>
      </c>
      <c r="I31" s="33" t="str">
        <f>IFERROR(IF(Questionnaire!E34="","",CHOOSE(MIN(5,MAX(1,Questionnaire!E34)),"Well Below","Below","Meets","Exceeds","Exceptional")),"–")</f>
        <v/>
      </c>
    </row>
    <row r="32" spans="1:9" ht="19.5" customHeight="1" x14ac:dyDescent="0.25">
      <c r="A32" s="103" t="s">
        <v>100</v>
      </c>
      <c r="B32" s="103"/>
      <c r="C32" s="62"/>
      <c r="D32" s="62"/>
      <c r="E32" s="62"/>
      <c r="F32" s="40">
        <f>IFERROR(AVERAGE(F27:F31),"")</f>
        <v>0</v>
      </c>
      <c r="G32" s="40">
        <f>IFERROR(AVERAGE(F27:F31),"")</f>
        <v>0</v>
      </c>
      <c r="H32" s="40">
        <f>IFERROR(F32*0.25,"")</f>
        <v>0</v>
      </c>
      <c r="I32" s="62"/>
    </row>
    <row r="34" spans="1:9" ht="30" customHeight="1" x14ac:dyDescent="0.25">
      <c r="A34" s="97" t="s">
        <v>101</v>
      </c>
      <c r="B34" s="97"/>
      <c r="C34" s="97"/>
      <c r="D34" s="97"/>
      <c r="E34" s="97"/>
      <c r="F34" s="97"/>
      <c r="G34" s="42">
        <f>Questionnaire!E36</f>
        <v>0</v>
      </c>
      <c r="H34" s="42">
        <f>Questionnaire!E36</f>
        <v>0</v>
      </c>
      <c r="I34" s="63" t="str">
        <f>IFERROR(IF(G34="","",IF(G34&gt;=4.5,"★ Exceptional",IF(G34&gt;=3.5,"✔ Exceeds",IF(G34&gt;=2.5,"✔ Meets",IF(G34&gt;=1.5,"▲ Below","✘ Well Below"))))),"–")</f>
        <v>✘ Well Below</v>
      </c>
    </row>
    <row r="36" spans="1:9" ht="21.75" customHeight="1" x14ac:dyDescent="0.25">
      <c r="A36" s="98" t="s">
        <v>102</v>
      </c>
      <c r="B36" s="98"/>
      <c r="C36" s="98"/>
      <c r="D36" s="98"/>
      <c r="E36" s="98"/>
      <c r="F36" s="98"/>
      <c r="G36" s="98"/>
      <c r="H36" s="98"/>
      <c r="I36" s="98"/>
    </row>
    <row r="37" spans="1:9" ht="18" customHeight="1" x14ac:dyDescent="0.25">
      <c r="A37" s="46" t="s">
        <v>103</v>
      </c>
      <c r="B37" s="99" t="s">
        <v>104</v>
      </c>
      <c r="C37" s="99"/>
      <c r="D37" s="94" t="s">
        <v>105</v>
      </c>
      <c r="E37" s="94"/>
      <c r="F37" s="94"/>
      <c r="G37" s="94"/>
      <c r="H37" s="94"/>
      <c r="I37" s="94"/>
    </row>
    <row r="38" spans="1:9" ht="18" customHeight="1" x14ac:dyDescent="0.25">
      <c r="A38" s="64" t="s">
        <v>106</v>
      </c>
      <c r="B38" s="100" t="s">
        <v>107</v>
      </c>
      <c r="C38" s="100"/>
      <c r="D38" s="94" t="s">
        <v>108</v>
      </c>
      <c r="E38" s="94"/>
      <c r="F38" s="94"/>
      <c r="G38" s="94"/>
      <c r="H38" s="94"/>
      <c r="I38" s="94"/>
    </row>
    <row r="39" spans="1:9" ht="18" customHeight="1" x14ac:dyDescent="0.25">
      <c r="A39" s="65" t="s">
        <v>109</v>
      </c>
      <c r="B39" s="93" t="s">
        <v>110</v>
      </c>
      <c r="C39" s="93"/>
      <c r="D39" s="94" t="s">
        <v>111</v>
      </c>
      <c r="E39" s="94"/>
      <c r="F39" s="94"/>
      <c r="G39" s="94"/>
      <c r="H39" s="94"/>
      <c r="I39" s="94"/>
    </row>
    <row r="40" spans="1:9" ht="18" customHeight="1" x14ac:dyDescent="0.25">
      <c r="A40" s="66" t="s">
        <v>112</v>
      </c>
      <c r="B40" s="95" t="s">
        <v>113</v>
      </c>
      <c r="C40" s="95"/>
      <c r="D40" s="94" t="s">
        <v>114</v>
      </c>
      <c r="E40" s="94"/>
      <c r="F40" s="94"/>
      <c r="G40" s="94"/>
      <c r="H40" s="94"/>
      <c r="I40" s="94"/>
    </row>
    <row r="41" spans="1:9" ht="18" customHeight="1" x14ac:dyDescent="0.25">
      <c r="A41" s="67" t="s">
        <v>115</v>
      </c>
      <c r="B41" s="96" t="s">
        <v>116</v>
      </c>
      <c r="C41" s="96"/>
      <c r="D41" s="94" t="s">
        <v>117</v>
      </c>
      <c r="E41" s="94"/>
      <c r="F41" s="94"/>
      <c r="G41" s="94"/>
      <c r="H41" s="94"/>
      <c r="I41" s="94"/>
    </row>
  </sheetData>
  <mergeCells count="22">
    <mergeCell ref="A1:I1"/>
    <mergeCell ref="A2:I2"/>
    <mergeCell ref="A5:I5"/>
    <mergeCell ref="A11:B11"/>
    <mergeCell ref="A12:I12"/>
    <mergeCell ref="A18:B18"/>
    <mergeCell ref="A19:I19"/>
    <mergeCell ref="A25:B25"/>
    <mergeCell ref="A26:I26"/>
    <mergeCell ref="A32:B32"/>
    <mergeCell ref="A34:F34"/>
    <mergeCell ref="A36:I36"/>
    <mergeCell ref="B37:C37"/>
    <mergeCell ref="D37:I37"/>
    <mergeCell ref="B38:C38"/>
    <mergeCell ref="D38:I38"/>
    <mergeCell ref="B39:C39"/>
    <mergeCell ref="D39:I39"/>
    <mergeCell ref="B40:C40"/>
    <mergeCell ref="D40:I40"/>
    <mergeCell ref="B41:C41"/>
    <mergeCell ref="D41:I41"/>
  </mergeCell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"/>
  <sheetViews>
    <sheetView showGridLines="0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5" sqref="D5"/>
    </sheetView>
  </sheetViews>
  <sheetFormatPr defaultColWidth="8.7109375" defaultRowHeight="15" x14ac:dyDescent="0.25"/>
  <cols>
    <col min="1" max="1" width="8" customWidth="1"/>
    <col min="2" max="2" width="18" customWidth="1"/>
    <col min="3" max="3" width="22" customWidth="1"/>
    <col min="4" max="4" width="20" customWidth="1"/>
    <col min="5" max="24" width="14" customWidth="1"/>
    <col min="25" max="28" width="16" customWidth="1"/>
    <col min="29" max="30" width="18" customWidth="1"/>
    <col min="31" max="31" width="22" customWidth="1"/>
  </cols>
  <sheetData>
    <row r="1" spans="1:31" ht="30" customHeight="1" x14ac:dyDescent="0.25">
      <c r="A1" s="74" t="s">
        <v>118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</row>
    <row r="2" spans="1:31" ht="15.75" customHeight="1" x14ac:dyDescent="0.25">
      <c r="A2" s="105" t="s">
        <v>119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</row>
    <row r="3" spans="1:31" ht="6" customHeight="1" x14ac:dyDescent="0.25"/>
    <row r="4" spans="1:31" ht="31.5" customHeight="1" x14ac:dyDescent="0.25">
      <c r="A4" s="44" t="s">
        <v>120</v>
      </c>
      <c r="B4" s="44" t="s">
        <v>121</v>
      </c>
      <c r="C4" s="44" t="s">
        <v>122</v>
      </c>
      <c r="D4" s="44" t="s">
        <v>123</v>
      </c>
      <c r="E4" s="44" t="s">
        <v>124</v>
      </c>
      <c r="F4" s="44" t="s">
        <v>125</v>
      </c>
      <c r="G4" s="44" t="s">
        <v>126</v>
      </c>
      <c r="H4" s="44" t="s">
        <v>127</v>
      </c>
      <c r="I4" s="44" t="s">
        <v>128</v>
      </c>
      <c r="J4" s="44" t="s">
        <v>129</v>
      </c>
      <c r="K4" s="44" t="s">
        <v>130</v>
      </c>
      <c r="L4" s="44" t="s">
        <v>131</v>
      </c>
      <c r="M4" s="44" t="s">
        <v>132</v>
      </c>
      <c r="N4" s="44" t="s">
        <v>133</v>
      </c>
      <c r="O4" s="44" t="s">
        <v>134</v>
      </c>
      <c r="P4" s="44" t="s">
        <v>135</v>
      </c>
      <c r="Q4" s="44" t="s">
        <v>136</v>
      </c>
      <c r="R4" s="44" t="s">
        <v>137</v>
      </c>
      <c r="S4" s="44" t="s">
        <v>138</v>
      </c>
      <c r="T4" s="44" t="s">
        <v>139</v>
      </c>
      <c r="U4" s="44" t="s">
        <v>140</v>
      </c>
      <c r="V4" s="44" t="s">
        <v>141</v>
      </c>
      <c r="W4" s="44" t="s">
        <v>142</v>
      </c>
      <c r="X4" s="44" t="s">
        <v>143</v>
      </c>
      <c r="Y4" s="44" t="s">
        <v>144</v>
      </c>
      <c r="Z4" s="44" t="s">
        <v>145</v>
      </c>
      <c r="AA4" s="44" t="s">
        <v>146</v>
      </c>
      <c r="AB4" s="44" t="s">
        <v>147</v>
      </c>
      <c r="AC4" s="44" t="s">
        <v>148</v>
      </c>
      <c r="AD4" s="44" t="s">
        <v>149</v>
      </c>
      <c r="AE4" s="44" t="s">
        <v>150</v>
      </c>
    </row>
    <row r="5" spans="1:31" ht="21.75" customHeight="1" x14ac:dyDescent="0.25">
      <c r="A5" s="68" t="s">
        <v>151</v>
      </c>
      <c r="B5" s="68" t="s">
        <v>152</v>
      </c>
      <c r="C5" s="68" t="s">
        <v>153</v>
      </c>
      <c r="D5" s="68" t="s">
        <v>154</v>
      </c>
      <c r="E5" s="68">
        <v>4</v>
      </c>
      <c r="F5" s="68">
        <v>3</v>
      </c>
      <c r="G5" s="68">
        <v>5</v>
      </c>
      <c r="H5" s="68">
        <v>4</v>
      </c>
      <c r="I5" s="68">
        <v>4</v>
      </c>
      <c r="J5" s="68">
        <v>3</v>
      </c>
      <c r="K5" s="68">
        <v>4</v>
      </c>
      <c r="L5" s="68">
        <v>3</v>
      </c>
      <c r="M5" s="68">
        <v>5</v>
      </c>
      <c r="N5" s="68">
        <v>4</v>
      </c>
      <c r="O5" s="68">
        <v>5</v>
      </c>
      <c r="P5" s="68">
        <v>4</v>
      </c>
      <c r="Q5" s="68">
        <v>4</v>
      </c>
      <c r="R5" s="68">
        <v>3</v>
      </c>
      <c r="S5" s="68">
        <v>5</v>
      </c>
      <c r="T5" s="68">
        <v>3</v>
      </c>
      <c r="U5" s="68">
        <v>4</v>
      </c>
      <c r="V5" s="68">
        <v>3</v>
      </c>
      <c r="W5" s="68">
        <v>4</v>
      </c>
      <c r="X5" s="68">
        <v>4</v>
      </c>
      <c r="Y5" s="69">
        <f>IFERROR(AVERAGE(E5:I5),"")</f>
        <v>4</v>
      </c>
      <c r="Z5" s="69">
        <f>IFERROR(AVERAGE(J5:N5),"")</f>
        <v>3.8</v>
      </c>
      <c r="AA5" s="69">
        <f>IFERROR(AVERAGE(O5:S5),"")</f>
        <v>4.2</v>
      </c>
      <c r="AB5" s="69">
        <f>IFERROR(AVERAGE(T5:X5),"")</f>
        <v>3.6</v>
      </c>
      <c r="AC5" s="69">
        <f>IFERROR((Y5+Z5+AA5+AB5)*0.25,"")</f>
        <v>3.9</v>
      </c>
      <c r="AD5" s="69" t="str">
        <f>IFERROR(IF(AC5&gt;=4.5,"Exceptional",IF(AC5&gt;=3.5,"Exceeds",IF(AC5&gt;=2.5,"Meets",IF(AC5&gt;=1.5,"Below","Well Below")))),"–")</f>
        <v>Exceeds</v>
      </c>
      <c r="AE5" s="69" t="s">
        <v>155</v>
      </c>
    </row>
  </sheetData>
  <mergeCells count="2">
    <mergeCell ref="A1:AE1"/>
    <mergeCell ref="A2:AE2"/>
  </mergeCell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89"/>
  <sheetViews>
    <sheetView showGridLines="0" zoomScaleNormal="100" workbookViewId="0">
      <selection sqref="A1:B1"/>
    </sheetView>
  </sheetViews>
  <sheetFormatPr defaultColWidth="8.7109375" defaultRowHeight="15" x14ac:dyDescent="0.25"/>
  <cols>
    <col min="1" max="1" width="3" customWidth="1"/>
    <col min="2" max="2" width="80" customWidth="1"/>
  </cols>
  <sheetData>
    <row r="1" spans="1:2" ht="30" customHeight="1" x14ac:dyDescent="0.25">
      <c r="A1" s="74" t="s">
        <v>156</v>
      </c>
      <c r="B1" s="74"/>
    </row>
    <row r="3" spans="1:2" ht="21.75" customHeight="1" x14ac:dyDescent="0.25">
      <c r="A3" s="110" t="s">
        <v>157</v>
      </c>
      <c r="B3" s="110"/>
    </row>
    <row r="4" spans="1:2" ht="15.75" customHeight="1" x14ac:dyDescent="0.25">
      <c r="A4" s="70" t="s">
        <v>158</v>
      </c>
      <c r="B4" s="70"/>
    </row>
    <row r="5" spans="1:2" ht="15.75" customHeight="1" x14ac:dyDescent="0.25">
      <c r="A5" s="70" t="s">
        <v>159</v>
      </c>
      <c r="B5" s="70"/>
    </row>
    <row r="6" spans="1:2" ht="15.75" customHeight="1" x14ac:dyDescent="0.25">
      <c r="A6" s="70" t="s">
        <v>160</v>
      </c>
      <c r="B6" s="70"/>
    </row>
    <row r="8" spans="1:2" ht="21.75" customHeight="1" x14ac:dyDescent="0.25">
      <c r="A8" s="109" t="s">
        <v>161</v>
      </c>
      <c r="B8" s="109"/>
    </row>
    <row r="9" spans="1:2" ht="15.75" customHeight="1" x14ac:dyDescent="0.25">
      <c r="A9" s="70" t="s">
        <v>162</v>
      </c>
      <c r="B9" s="70"/>
    </row>
    <row r="10" spans="1:2" ht="15.75" customHeight="1" x14ac:dyDescent="0.25">
      <c r="A10" s="70" t="s">
        <v>163</v>
      </c>
      <c r="B10" s="70"/>
    </row>
    <row r="11" spans="1:2" ht="15.75" customHeight="1" x14ac:dyDescent="0.25">
      <c r="A11" s="70" t="s">
        <v>164</v>
      </c>
      <c r="B11" s="70"/>
    </row>
    <row r="12" spans="1:2" ht="15.75" customHeight="1" x14ac:dyDescent="0.25">
      <c r="A12" s="70"/>
      <c r="B12" s="70"/>
    </row>
    <row r="13" spans="1:2" ht="15.75" customHeight="1" x14ac:dyDescent="0.25">
      <c r="A13" s="70" t="s">
        <v>165</v>
      </c>
      <c r="B13" s="70"/>
    </row>
    <row r="14" spans="1:2" ht="15.75" customHeight="1" x14ac:dyDescent="0.25">
      <c r="A14" s="70" t="s">
        <v>166</v>
      </c>
      <c r="B14" s="70"/>
    </row>
    <row r="15" spans="1:2" ht="15.75" customHeight="1" x14ac:dyDescent="0.25">
      <c r="A15" s="70"/>
      <c r="B15" s="70"/>
    </row>
    <row r="16" spans="1:2" ht="15.75" customHeight="1" x14ac:dyDescent="0.25">
      <c r="A16" s="70" t="s">
        <v>167</v>
      </c>
      <c r="B16" s="70"/>
    </row>
    <row r="17" spans="1:2" ht="15.75" customHeight="1" x14ac:dyDescent="0.25">
      <c r="A17" s="70" t="s">
        <v>168</v>
      </c>
      <c r="B17" s="70"/>
    </row>
    <row r="18" spans="1:2" ht="15.75" customHeight="1" x14ac:dyDescent="0.25">
      <c r="A18" s="70" t="s">
        <v>169</v>
      </c>
      <c r="B18" s="70"/>
    </row>
    <row r="19" spans="1:2" ht="15.75" customHeight="1" x14ac:dyDescent="0.25">
      <c r="A19" s="70"/>
      <c r="B19" s="70"/>
    </row>
    <row r="20" spans="1:2" ht="15.75" customHeight="1" x14ac:dyDescent="0.25">
      <c r="A20" s="70" t="s">
        <v>170</v>
      </c>
      <c r="B20" s="70"/>
    </row>
    <row r="21" spans="1:2" ht="15.75" customHeight="1" x14ac:dyDescent="0.25">
      <c r="A21" s="70" t="s">
        <v>171</v>
      </c>
      <c r="B21" s="70"/>
    </row>
    <row r="22" spans="1:2" ht="15.75" customHeight="1" x14ac:dyDescent="0.25">
      <c r="A22" s="70" t="s">
        <v>172</v>
      </c>
      <c r="B22" s="70"/>
    </row>
    <row r="23" spans="1:2" ht="15.75" customHeight="1" x14ac:dyDescent="0.25">
      <c r="A23" s="70" t="s">
        <v>173</v>
      </c>
      <c r="B23" s="70"/>
    </row>
    <row r="24" spans="1:2" ht="15.75" customHeight="1" x14ac:dyDescent="0.25">
      <c r="A24" s="70" t="s">
        <v>174</v>
      </c>
      <c r="B24" s="70"/>
    </row>
    <row r="25" spans="1:2" ht="15.75" customHeight="1" x14ac:dyDescent="0.25">
      <c r="A25" s="70" t="s">
        <v>175</v>
      </c>
      <c r="B25" s="70"/>
    </row>
    <row r="26" spans="1:2" ht="15.75" customHeight="1" x14ac:dyDescent="0.25">
      <c r="A26" s="70" t="s">
        <v>176</v>
      </c>
      <c r="B26" s="70"/>
    </row>
    <row r="27" spans="1:2" ht="15.75" customHeight="1" x14ac:dyDescent="0.25">
      <c r="A27" s="70" t="s">
        <v>177</v>
      </c>
      <c r="B27" s="70"/>
    </row>
    <row r="28" spans="1:2" ht="15.75" customHeight="1" x14ac:dyDescent="0.25">
      <c r="A28" s="70" t="s">
        <v>178</v>
      </c>
      <c r="B28" s="70"/>
    </row>
    <row r="29" spans="1:2" ht="15.75" customHeight="1" x14ac:dyDescent="0.25">
      <c r="A29" s="70" t="s">
        <v>179</v>
      </c>
      <c r="B29" s="70"/>
    </row>
    <row r="30" spans="1:2" ht="15.75" customHeight="1" x14ac:dyDescent="0.25">
      <c r="A30" s="70" t="s">
        <v>180</v>
      </c>
      <c r="B30" s="70"/>
    </row>
    <row r="31" spans="1:2" ht="15.75" customHeight="1" x14ac:dyDescent="0.25">
      <c r="A31" s="70" t="s">
        <v>181</v>
      </c>
      <c r="B31" s="70"/>
    </row>
    <row r="32" spans="1:2" ht="15.75" customHeight="1" x14ac:dyDescent="0.25">
      <c r="A32" s="70" t="s">
        <v>182</v>
      </c>
      <c r="B32" s="70"/>
    </row>
    <row r="33" spans="1:2" ht="15.75" customHeight="1" x14ac:dyDescent="0.25">
      <c r="A33" s="70" t="s">
        <v>183</v>
      </c>
      <c r="B33" s="70"/>
    </row>
    <row r="34" spans="1:2" ht="15.75" customHeight="1" x14ac:dyDescent="0.25">
      <c r="A34" s="70"/>
      <c r="B34" s="70"/>
    </row>
    <row r="35" spans="1:2" ht="15.75" customHeight="1" x14ac:dyDescent="0.25">
      <c r="A35" s="70" t="s">
        <v>184</v>
      </c>
      <c r="B35" s="70"/>
    </row>
    <row r="36" spans="1:2" ht="15.75" customHeight="1" x14ac:dyDescent="0.25">
      <c r="A36" s="70" t="s">
        <v>185</v>
      </c>
      <c r="B36" s="70"/>
    </row>
    <row r="37" spans="1:2" ht="15.75" customHeight="1" x14ac:dyDescent="0.25">
      <c r="A37" s="70" t="s">
        <v>186</v>
      </c>
      <c r="B37" s="70"/>
    </row>
    <row r="38" spans="1:2" ht="15.75" customHeight="1" x14ac:dyDescent="0.25">
      <c r="A38" s="70" t="s">
        <v>187</v>
      </c>
      <c r="B38" s="70"/>
    </row>
    <row r="39" spans="1:2" ht="15.75" customHeight="1" x14ac:dyDescent="0.25">
      <c r="A39" s="70" t="s">
        <v>188</v>
      </c>
      <c r="B39" s="70"/>
    </row>
    <row r="40" spans="1:2" ht="15.75" customHeight="1" x14ac:dyDescent="0.25">
      <c r="A40" s="70" t="s">
        <v>189</v>
      </c>
      <c r="B40" s="70"/>
    </row>
    <row r="42" spans="1:2" ht="21.75" customHeight="1" x14ac:dyDescent="0.25">
      <c r="A42" s="108" t="s">
        <v>190</v>
      </c>
      <c r="B42" s="108"/>
    </row>
    <row r="43" spans="1:2" ht="15.75" customHeight="1" x14ac:dyDescent="0.25">
      <c r="A43" s="70" t="s">
        <v>191</v>
      </c>
      <c r="B43" s="70"/>
    </row>
    <row r="44" spans="1:2" ht="15.75" customHeight="1" x14ac:dyDescent="0.25">
      <c r="A44" s="70" t="s">
        <v>192</v>
      </c>
      <c r="B44" s="70"/>
    </row>
    <row r="45" spans="1:2" ht="15.75" customHeight="1" x14ac:dyDescent="0.25">
      <c r="A45" s="70"/>
      <c r="B45" s="70"/>
    </row>
    <row r="46" spans="1:2" ht="15.75" customHeight="1" x14ac:dyDescent="0.25">
      <c r="A46" s="70" t="s">
        <v>193</v>
      </c>
      <c r="B46" s="70"/>
    </row>
    <row r="47" spans="1:2" ht="15.75" customHeight="1" x14ac:dyDescent="0.25">
      <c r="A47" s="70" t="s">
        <v>194</v>
      </c>
      <c r="B47" s="70"/>
    </row>
    <row r="48" spans="1:2" ht="15.75" customHeight="1" x14ac:dyDescent="0.25">
      <c r="A48" s="70"/>
      <c r="B48" s="70"/>
    </row>
    <row r="49" spans="1:2" ht="15.75" customHeight="1" x14ac:dyDescent="0.25">
      <c r="A49" s="70" t="s">
        <v>195</v>
      </c>
      <c r="B49" s="70"/>
    </row>
    <row r="50" spans="1:2" ht="15.75" customHeight="1" x14ac:dyDescent="0.25">
      <c r="A50" s="70" t="s">
        <v>196</v>
      </c>
      <c r="B50" s="70"/>
    </row>
    <row r="51" spans="1:2" ht="15.75" customHeight="1" x14ac:dyDescent="0.25">
      <c r="A51" s="70" t="s">
        <v>197</v>
      </c>
      <c r="B51" s="70"/>
    </row>
    <row r="52" spans="1:2" ht="15.75" customHeight="1" x14ac:dyDescent="0.25">
      <c r="A52" s="70" t="s">
        <v>198</v>
      </c>
      <c r="B52" s="70"/>
    </row>
    <row r="53" spans="1:2" ht="15.75" customHeight="1" x14ac:dyDescent="0.25">
      <c r="A53" s="70"/>
      <c r="B53" s="70"/>
    </row>
    <row r="54" spans="1:2" ht="15.75" customHeight="1" x14ac:dyDescent="0.25">
      <c r="A54" s="70" t="s">
        <v>199</v>
      </c>
      <c r="B54" s="70"/>
    </row>
    <row r="55" spans="1:2" ht="15.75" customHeight="1" x14ac:dyDescent="0.25">
      <c r="A55" s="70" t="s">
        <v>200</v>
      </c>
      <c r="B55" s="70"/>
    </row>
    <row r="56" spans="1:2" ht="15.75" customHeight="1" x14ac:dyDescent="0.25">
      <c r="A56" s="70" t="s">
        <v>201</v>
      </c>
      <c r="B56" s="70"/>
    </row>
    <row r="57" spans="1:2" ht="15.75" customHeight="1" x14ac:dyDescent="0.25">
      <c r="A57" s="70" t="s">
        <v>202</v>
      </c>
      <c r="B57" s="70"/>
    </row>
    <row r="58" spans="1:2" ht="15.75" customHeight="1" x14ac:dyDescent="0.25">
      <c r="A58" s="70" t="s">
        <v>203</v>
      </c>
      <c r="B58" s="70"/>
    </row>
    <row r="59" spans="1:2" ht="15.75" customHeight="1" x14ac:dyDescent="0.25">
      <c r="A59" s="70" t="s">
        <v>204</v>
      </c>
      <c r="B59" s="70"/>
    </row>
    <row r="60" spans="1:2" ht="15.75" customHeight="1" x14ac:dyDescent="0.25">
      <c r="A60" s="70" t="s">
        <v>205</v>
      </c>
      <c r="B60" s="70"/>
    </row>
    <row r="61" spans="1:2" ht="15.75" customHeight="1" x14ac:dyDescent="0.25">
      <c r="A61" s="70"/>
      <c r="B61" s="70"/>
    </row>
    <row r="62" spans="1:2" ht="15.75" customHeight="1" x14ac:dyDescent="0.25">
      <c r="A62" s="70" t="s">
        <v>206</v>
      </c>
      <c r="B62" s="70"/>
    </row>
    <row r="63" spans="1:2" ht="15.75" customHeight="1" x14ac:dyDescent="0.25">
      <c r="A63" s="70" t="s">
        <v>207</v>
      </c>
      <c r="B63" s="70"/>
    </row>
    <row r="64" spans="1:2" ht="15.75" customHeight="1" x14ac:dyDescent="0.25">
      <c r="A64" s="70" t="s">
        <v>208</v>
      </c>
      <c r="B64" s="70"/>
    </row>
    <row r="65" spans="1:2" ht="15.75" customHeight="1" x14ac:dyDescent="0.25">
      <c r="A65" s="70" t="s">
        <v>209</v>
      </c>
      <c r="B65" s="70"/>
    </row>
    <row r="66" spans="1:2" ht="15.75" customHeight="1" x14ac:dyDescent="0.25">
      <c r="A66" s="70" t="s">
        <v>210</v>
      </c>
      <c r="B66" s="70"/>
    </row>
    <row r="67" spans="1:2" ht="15.75" customHeight="1" x14ac:dyDescent="0.25">
      <c r="A67" s="70" t="s">
        <v>211</v>
      </c>
      <c r="B67" s="70"/>
    </row>
    <row r="68" spans="1:2" ht="15.75" customHeight="1" x14ac:dyDescent="0.25">
      <c r="A68" s="70" t="s">
        <v>212</v>
      </c>
      <c r="B68" s="70"/>
    </row>
    <row r="69" spans="1:2" ht="15.75" customHeight="1" x14ac:dyDescent="0.25">
      <c r="A69" s="70" t="s">
        <v>213</v>
      </c>
      <c r="B69" s="70"/>
    </row>
    <row r="70" spans="1:2" ht="15.75" customHeight="1" x14ac:dyDescent="0.25">
      <c r="A70" s="70" t="s">
        <v>214</v>
      </c>
      <c r="B70" s="70"/>
    </row>
    <row r="72" spans="1:2" ht="21.75" customHeight="1" x14ac:dyDescent="0.25">
      <c r="A72" s="107" t="s">
        <v>215</v>
      </c>
      <c r="B72" s="107"/>
    </row>
    <row r="73" spans="1:2" ht="15.75" customHeight="1" x14ac:dyDescent="0.25">
      <c r="A73" s="70" t="s">
        <v>216</v>
      </c>
      <c r="B73" s="70"/>
    </row>
    <row r="74" spans="1:2" ht="15.75" customHeight="1" x14ac:dyDescent="0.25">
      <c r="A74" s="70" t="s">
        <v>217</v>
      </c>
      <c r="B74" s="70"/>
    </row>
    <row r="75" spans="1:2" ht="15.75" customHeight="1" x14ac:dyDescent="0.25">
      <c r="A75" s="70" t="s">
        <v>218</v>
      </c>
      <c r="B75" s="70"/>
    </row>
    <row r="76" spans="1:2" ht="15.75" customHeight="1" x14ac:dyDescent="0.25">
      <c r="A76" s="70" t="s">
        <v>219</v>
      </c>
      <c r="B76" s="70"/>
    </row>
    <row r="77" spans="1:2" ht="15.75" customHeight="1" x14ac:dyDescent="0.25">
      <c r="A77" s="70" t="s">
        <v>220</v>
      </c>
      <c r="B77" s="70"/>
    </row>
    <row r="78" spans="1:2" ht="15.75" customHeight="1" x14ac:dyDescent="0.25">
      <c r="A78" s="70" t="s">
        <v>221</v>
      </c>
      <c r="B78" s="70"/>
    </row>
    <row r="79" spans="1:2" ht="15.75" customHeight="1" x14ac:dyDescent="0.25">
      <c r="A79" s="70" t="s">
        <v>222</v>
      </c>
      <c r="B79" s="70"/>
    </row>
    <row r="80" spans="1:2" ht="15.75" customHeight="1" x14ac:dyDescent="0.25">
      <c r="A80" s="70" t="s">
        <v>223</v>
      </c>
      <c r="B80" s="70"/>
    </row>
    <row r="81" spans="1:2" ht="15.75" customHeight="1" x14ac:dyDescent="0.25">
      <c r="A81" s="70" t="s">
        <v>224</v>
      </c>
      <c r="B81" s="70"/>
    </row>
    <row r="82" spans="1:2" ht="15.75" customHeight="1" x14ac:dyDescent="0.25">
      <c r="A82" s="70" t="s">
        <v>225</v>
      </c>
      <c r="B82" s="70"/>
    </row>
    <row r="83" spans="1:2" ht="15.75" customHeight="1" x14ac:dyDescent="0.25">
      <c r="A83" s="70" t="s">
        <v>226</v>
      </c>
      <c r="B83" s="70"/>
    </row>
    <row r="84" spans="1:2" ht="15.75" customHeight="1" x14ac:dyDescent="0.25">
      <c r="A84" s="70" t="s">
        <v>227</v>
      </c>
      <c r="B84" s="70"/>
    </row>
    <row r="85" spans="1:2" ht="15.75" customHeight="1" x14ac:dyDescent="0.25">
      <c r="A85" s="70" t="s">
        <v>228</v>
      </c>
      <c r="B85" s="70"/>
    </row>
    <row r="86" spans="1:2" ht="15.75" customHeight="1" x14ac:dyDescent="0.25">
      <c r="A86" s="70" t="s">
        <v>229</v>
      </c>
      <c r="B86" s="70"/>
    </row>
    <row r="87" spans="1:2" ht="15.75" customHeight="1" x14ac:dyDescent="0.25">
      <c r="A87" s="70" t="s">
        <v>230</v>
      </c>
      <c r="B87" s="70"/>
    </row>
    <row r="88" spans="1:2" ht="15.75" customHeight="1" x14ac:dyDescent="0.25">
      <c r="A88" s="70" t="s">
        <v>231</v>
      </c>
      <c r="B88" s="70"/>
    </row>
    <row r="89" spans="1:2" ht="15.75" customHeight="1" x14ac:dyDescent="0.25">
      <c r="A89" s="70" t="s">
        <v>232</v>
      </c>
      <c r="B89" s="70"/>
    </row>
  </sheetData>
  <mergeCells count="85">
    <mergeCell ref="A1:B1"/>
    <mergeCell ref="A3:B3"/>
    <mergeCell ref="A4:B4"/>
    <mergeCell ref="A5:B5"/>
    <mergeCell ref="A6:B6"/>
    <mergeCell ref="A8:B8"/>
    <mergeCell ref="A9:B9"/>
    <mergeCell ref="A10:B10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39:B39"/>
    <mergeCell ref="A40:B40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A60:B60"/>
    <mergeCell ref="A61:B61"/>
    <mergeCell ref="A62:B62"/>
    <mergeCell ref="A63:B63"/>
    <mergeCell ref="A64:B64"/>
    <mergeCell ref="A65:B65"/>
    <mergeCell ref="A66:B66"/>
    <mergeCell ref="A67:B67"/>
    <mergeCell ref="A68:B68"/>
    <mergeCell ref="A69:B69"/>
    <mergeCell ref="A70:B70"/>
    <mergeCell ref="A72:B72"/>
    <mergeCell ref="A73:B73"/>
    <mergeCell ref="A74:B74"/>
    <mergeCell ref="A75:B75"/>
    <mergeCell ref="A76:B76"/>
    <mergeCell ref="A77:B77"/>
    <mergeCell ref="A78:B78"/>
    <mergeCell ref="A79:B79"/>
    <mergeCell ref="A80:B80"/>
    <mergeCell ref="A81:B81"/>
    <mergeCell ref="A82:B82"/>
    <mergeCell ref="A83:B83"/>
    <mergeCell ref="A84:B84"/>
    <mergeCell ref="A85:B85"/>
    <mergeCell ref="A86:B86"/>
    <mergeCell ref="A87:B87"/>
    <mergeCell ref="A88:B88"/>
    <mergeCell ref="A89:B89"/>
  </mergeCell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110"/>
  <sheetViews>
    <sheetView showGridLines="0" zoomScaleNormal="100" workbookViewId="0">
      <selection activeCell="F15" sqref="F15"/>
    </sheetView>
  </sheetViews>
  <sheetFormatPr defaultColWidth="8.7109375" defaultRowHeight="15" x14ac:dyDescent="0.25"/>
  <cols>
    <col min="1" max="1" width="3" customWidth="1"/>
    <col min="2" max="2" width="90" customWidth="1"/>
  </cols>
  <sheetData>
    <row r="1" spans="1:2" ht="30" customHeight="1" x14ac:dyDescent="0.25">
      <c r="A1" s="74" t="s">
        <v>233</v>
      </c>
      <c r="B1" s="74"/>
    </row>
    <row r="3" spans="1:2" ht="7.5" customHeight="1" x14ac:dyDescent="0.25">
      <c r="A3" s="72"/>
      <c r="B3" s="72"/>
    </row>
    <row r="4" spans="1:2" ht="21.75" customHeight="1" x14ac:dyDescent="0.25">
      <c r="A4" s="71" t="s">
        <v>234</v>
      </c>
      <c r="B4" s="71"/>
    </row>
    <row r="5" spans="1:2" ht="7.5" customHeight="1" x14ac:dyDescent="0.25">
      <c r="A5" s="72"/>
      <c r="B5" s="72"/>
    </row>
    <row r="6" spans="1:2" ht="21.75" customHeight="1" x14ac:dyDescent="0.25">
      <c r="A6" s="71" t="s">
        <v>235</v>
      </c>
      <c r="B6" s="71"/>
    </row>
    <row r="7" spans="1:2" ht="21.75" customHeight="1" x14ac:dyDescent="0.25">
      <c r="A7" s="71" t="s">
        <v>236</v>
      </c>
      <c r="B7" s="71"/>
    </row>
    <row r="8" spans="1:2" ht="21.75" customHeight="1" x14ac:dyDescent="0.25">
      <c r="A8" s="71" t="s">
        <v>237</v>
      </c>
      <c r="B8" s="71"/>
    </row>
    <row r="9" spans="1:2" ht="21.75" customHeight="1" x14ac:dyDescent="0.25">
      <c r="A9" s="71" t="s">
        <v>238</v>
      </c>
      <c r="B9" s="71"/>
    </row>
    <row r="10" spans="1:2" ht="21.75" customHeight="1" x14ac:dyDescent="0.25">
      <c r="A10" s="71" t="s">
        <v>239</v>
      </c>
      <c r="B10" s="71"/>
    </row>
    <row r="11" spans="1:2" ht="21.75" customHeight="1" x14ac:dyDescent="0.25">
      <c r="A11" s="71" t="s">
        <v>240</v>
      </c>
      <c r="B11" s="71"/>
    </row>
    <row r="12" spans="1:2" ht="21.75" customHeight="1" x14ac:dyDescent="0.25">
      <c r="A12" s="71" t="s">
        <v>241</v>
      </c>
      <c r="B12" s="71"/>
    </row>
    <row r="13" spans="1:2" ht="21.75" customHeight="1" x14ac:dyDescent="0.25">
      <c r="A13" s="71" t="s">
        <v>242</v>
      </c>
      <c r="B13" s="71"/>
    </row>
    <row r="14" spans="1:2" ht="7.5" customHeight="1" x14ac:dyDescent="0.25">
      <c r="A14" s="72"/>
      <c r="B14" s="72"/>
    </row>
    <row r="15" spans="1:2" ht="21.75" customHeight="1" x14ac:dyDescent="0.25">
      <c r="A15" s="73" t="s">
        <v>243</v>
      </c>
      <c r="B15" s="73"/>
    </row>
    <row r="16" spans="1:2" ht="15" customHeight="1" x14ac:dyDescent="0.25">
      <c r="A16" s="70" t="s">
        <v>244</v>
      </c>
      <c r="B16" s="70"/>
    </row>
    <row r="17" spans="1:2" ht="15" customHeight="1" x14ac:dyDescent="0.25">
      <c r="A17" s="70" t="s">
        <v>245</v>
      </c>
      <c r="B17" s="70"/>
    </row>
    <row r="18" spans="1:2" ht="15" customHeight="1" x14ac:dyDescent="0.25">
      <c r="A18" s="70" t="s">
        <v>246</v>
      </c>
      <c r="B18" s="70"/>
    </row>
    <row r="19" spans="1:2" ht="15" customHeight="1" x14ac:dyDescent="0.25">
      <c r="A19" s="70" t="s">
        <v>247</v>
      </c>
      <c r="B19" s="70"/>
    </row>
    <row r="20" spans="1:2" ht="15" customHeight="1" x14ac:dyDescent="0.25">
      <c r="A20" s="70" t="s">
        <v>248</v>
      </c>
      <c r="B20" s="70"/>
    </row>
    <row r="21" spans="1:2" ht="15" customHeight="1" x14ac:dyDescent="0.25">
      <c r="A21" s="70" t="s">
        <v>249</v>
      </c>
      <c r="B21" s="70"/>
    </row>
    <row r="22" spans="1:2" ht="15" customHeight="1" x14ac:dyDescent="0.25">
      <c r="A22" s="70" t="s">
        <v>250</v>
      </c>
      <c r="B22" s="70"/>
    </row>
    <row r="23" spans="1:2" ht="15" customHeight="1" x14ac:dyDescent="0.25">
      <c r="A23" s="70" t="s">
        <v>248</v>
      </c>
      <c r="B23" s="70"/>
    </row>
    <row r="24" spans="1:2" ht="15" customHeight="1" x14ac:dyDescent="0.25">
      <c r="A24" s="70" t="s">
        <v>251</v>
      </c>
      <c r="B24" s="70"/>
    </row>
    <row r="25" spans="1:2" ht="15" customHeight="1" x14ac:dyDescent="0.25">
      <c r="A25" s="70" t="s">
        <v>252</v>
      </c>
      <c r="B25" s="70"/>
    </row>
    <row r="26" spans="1:2" ht="15" customHeight="1" x14ac:dyDescent="0.25">
      <c r="A26" s="70" t="s">
        <v>253</v>
      </c>
      <c r="B26" s="70"/>
    </row>
    <row r="27" spans="1:2" ht="15" customHeight="1" x14ac:dyDescent="0.25">
      <c r="A27" s="70" t="s">
        <v>248</v>
      </c>
      <c r="B27" s="70"/>
    </row>
    <row r="28" spans="1:2" ht="15" customHeight="1" x14ac:dyDescent="0.25">
      <c r="A28" s="70" t="s">
        <v>254</v>
      </c>
      <c r="B28" s="70"/>
    </row>
    <row r="29" spans="1:2" ht="15" customHeight="1" x14ac:dyDescent="0.25">
      <c r="A29" s="70" t="s">
        <v>255</v>
      </c>
      <c r="B29" s="70"/>
    </row>
    <row r="30" spans="1:2" ht="15" customHeight="1" x14ac:dyDescent="0.25">
      <c r="A30" s="70" t="s">
        <v>248</v>
      </c>
      <c r="B30" s="70"/>
    </row>
    <row r="31" spans="1:2" ht="15" customHeight="1" x14ac:dyDescent="0.25">
      <c r="A31" s="70" t="s">
        <v>256</v>
      </c>
      <c r="B31" s="70"/>
    </row>
    <row r="32" spans="1:2" ht="15" customHeight="1" x14ac:dyDescent="0.25">
      <c r="A32" s="70" t="s">
        <v>257</v>
      </c>
      <c r="B32" s="70"/>
    </row>
    <row r="33" spans="1:2" ht="15" customHeight="1" x14ac:dyDescent="0.25">
      <c r="A33" s="70" t="s">
        <v>248</v>
      </c>
      <c r="B33" s="70"/>
    </row>
    <row r="34" spans="1:2" ht="15" customHeight="1" x14ac:dyDescent="0.25">
      <c r="A34" s="70" t="s">
        <v>258</v>
      </c>
      <c r="B34" s="70"/>
    </row>
    <row r="35" spans="1:2" ht="15" customHeight="1" x14ac:dyDescent="0.25">
      <c r="A35" s="70" t="s">
        <v>259</v>
      </c>
      <c r="B35" s="70"/>
    </row>
    <row r="36" spans="1:2" ht="15" customHeight="1" x14ac:dyDescent="0.25">
      <c r="A36" s="70" t="s">
        <v>260</v>
      </c>
      <c r="B36" s="70"/>
    </row>
    <row r="37" spans="1:2" ht="15" customHeight="1" x14ac:dyDescent="0.25">
      <c r="A37" s="70" t="s">
        <v>248</v>
      </c>
      <c r="B37" s="70"/>
    </row>
    <row r="38" spans="1:2" ht="15" customHeight="1" x14ac:dyDescent="0.25">
      <c r="A38" s="70" t="s">
        <v>261</v>
      </c>
      <c r="B38" s="70"/>
    </row>
    <row r="39" spans="1:2" ht="15" customHeight="1" x14ac:dyDescent="0.25">
      <c r="A39" s="70" t="s">
        <v>262</v>
      </c>
      <c r="B39" s="70"/>
    </row>
    <row r="40" spans="1:2" ht="15" customHeight="1" x14ac:dyDescent="0.25">
      <c r="A40" s="70" t="s">
        <v>263</v>
      </c>
      <c r="B40" s="70"/>
    </row>
    <row r="41" spans="1:2" ht="15" customHeight="1" x14ac:dyDescent="0.25">
      <c r="A41" s="70" t="s">
        <v>264</v>
      </c>
      <c r="B41" s="70"/>
    </row>
    <row r="42" spans="1:2" ht="15" customHeight="1" x14ac:dyDescent="0.25">
      <c r="A42" s="70" t="s">
        <v>265</v>
      </c>
      <c r="B42" s="70"/>
    </row>
    <row r="43" spans="1:2" ht="15" customHeight="1" x14ac:dyDescent="0.25">
      <c r="A43" s="70" t="s">
        <v>266</v>
      </c>
      <c r="B43" s="70"/>
    </row>
    <row r="44" spans="1:2" ht="15" customHeight="1" x14ac:dyDescent="0.25">
      <c r="A44" s="70" t="s">
        <v>267</v>
      </c>
      <c r="B44" s="70"/>
    </row>
    <row r="45" spans="1:2" ht="15" customHeight="1" x14ac:dyDescent="0.25">
      <c r="A45" s="70" t="s">
        <v>268</v>
      </c>
      <c r="B45" s="70"/>
    </row>
    <row r="46" spans="1:2" ht="15" customHeight="1" x14ac:dyDescent="0.25">
      <c r="A46" s="70" t="s">
        <v>248</v>
      </c>
      <c r="B46" s="70"/>
    </row>
    <row r="47" spans="1:2" ht="15" customHeight="1" x14ac:dyDescent="0.25">
      <c r="A47" s="70" t="s">
        <v>269</v>
      </c>
      <c r="B47" s="70"/>
    </row>
    <row r="48" spans="1:2" ht="15" customHeight="1" x14ac:dyDescent="0.25">
      <c r="A48" s="70" t="s">
        <v>270</v>
      </c>
      <c r="B48" s="70"/>
    </row>
    <row r="49" spans="1:2" ht="15" customHeight="1" x14ac:dyDescent="0.25">
      <c r="A49" s="70" t="s">
        <v>271</v>
      </c>
      <c r="B49" s="70"/>
    </row>
    <row r="50" spans="1:2" ht="15" customHeight="1" x14ac:dyDescent="0.25">
      <c r="A50" s="70" t="s">
        <v>272</v>
      </c>
      <c r="B50" s="70"/>
    </row>
    <row r="51" spans="1:2" ht="15" customHeight="1" x14ac:dyDescent="0.25">
      <c r="A51" s="70" t="s">
        <v>273</v>
      </c>
      <c r="B51" s="70"/>
    </row>
    <row r="52" spans="1:2" ht="15" customHeight="1" x14ac:dyDescent="0.25">
      <c r="A52" s="70" t="s">
        <v>248</v>
      </c>
      <c r="B52" s="70"/>
    </row>
    <row r="53" spans="1:2" ht="15" customHeight="1" x14ac:dyDescent="0.25">
      <c r="A53" s="70" t="s">
        <v>274</v>
      </c>
      <c r="B53" s="70"/>
    </row>
    <row r="54" spans="1:2" ht="15" customHeight="1" x14ac:dyDescent="0.25">
      <c r="A54" s="70" t="s">
        <v>275</v>
      </c>
      <c r="B54" s="70"/>
    </row>
    <row r="55" spans="1:2" ht="15" customHeight="1" x14ac:dyDescent="0.25">
      <c r="A55" s="70" t="s">
        <v>276</v>
      </c>
      <c r="B55" s="70"/>
    </row>
    <row r="56" spans="1:2" ht="15" customHeight="1" x14ac:dyDescent="0.25">
      <c r="A56" s="70" t="s">
        <v>248</v>
      </c>
      <c r="B56" s="70"/>
    </row>
    <row r="57" spans="1:2" ht="15" customHeight="1" x14ac:dyDescent="0.25">
      <c r="A57" s="70" t="s">
        <v>277</v>
      </c>
      <c r="B57" s="70"/>
    </row>
    <row r="58" spans="1:2" ht="15" customHeight="1" x14ac:dyDescent="0.25">
      <c r="A58" s="70" t="s">
        <v>278</v>
      </c>
      <c r="B58" s="70"/>
    </row>
    <row r="59" spans="1:2" ht="15" customHeight="1" x14ac:dyDescent="0.25">
      <c r="A59" s="70" t="s">
        <v>279</v>
      </c>
      <c r="B59" s="70"/>
    </row>
    <row r="60" spans="1:2" ht="15" customHeight="1" x14ac:dyDescent="0.25">
      <c r="A60" s="70" t="s">
        <v>280</v>
      </c>
      <c r="B60" s="70"/>
    </row>
    <row r="61" spans="1:2" ht="15" customHeight="1" x14ac:dyDescent="0.25">
      <c r="A61" s="70" t="s">
        <v>281</v>
      </c>
      <c r="B61" s="70"/>
    </row>
    <row r="62" spans="1:2" ht="15" customHeight="1" x14ac:dyDescent="0.25">
      <c r="A62" s="70" t="s">
        <v>282</v>
      </c>
      <c r="B62" s="70"/>
    </row>
    <row r="63" spans="1:2" ht="15" customHeight="1" x14ac:dyDescent="0.25">
      <c r="A63" s="70" t="s">
        <v>283</v>
      </c>
      <c r="B63" s="70"/>
    </row>
    <row r="64" spans="1:2" ht="15" customHeight="1" x14ac:dyDescent="0.25">
      <c r="A64" s="70" t="s">
        <v>284</v>
      </c>
      <c r="B64" s="70"/>
    </row>
    <row r="65" spans="1:2" ht="15" customHeight="1" x14ac:dyDescent="0.25">
      <c r="A65" s="70" t="s">
        <v>248</v>
      </c>
      <c r="B65" s="70"/>
    </row>
    <row r="66" spans="1:2" ht="15" customHeight="1" x14ac:dyDescent="0.25">
      <c r="A66" s="70" t="s">
        <v>285</v>
      </c>
      <c r="B66" s="70"/>
    </row>
    <row r="67" spans="1:2" ht="15" customHeight="1" x14ac:dyDescent="0.25">
      <c r="A67" s="70" t="s">
        <v>286</v>
      </c>
      <c r="B67" s="70"/>
    </row>
    <row r="68" spans="1:2" ht="15" customHeight="1" x14ac:dyDescent="0.25">
      <c r="A68" s="70" t="s">
        <v>287</v>
      </c>
      <c r="B68" s="70"/>
    </row>
    <row r="69" spans="1:2" ht="15" customHeight="1" x14ac:dyDescent="0.25">
      <c r="A69" s="70" t="s">
        <v>288</v>
      </c>
      <c r="B69" s="70"/>
    </row>
    <row r="70" spans="1:2" ht="15" customHeight="1" x14ac:dyDescent="0.25">
      <c r="A70" s="70" t="s">
        <v>289</v>
      </c>
      <c r="B70" s="70"/>
    </row>
    <row r="71" spans="1:2" ht="15" customHeight="1" x14ac:dyDescent="0.25">
      <c r="A71" s="70" t="s">
        <v>290</v>
      </c>
      <c r="B71" s="70"/>
    </row>
    <row r="72" spans="1:2" ht="15" customHeight="1" x14ac:dyDescent="0.25">
      <c r="A72" s="70" t="s">
        <v>248</v>
      </c>
      <c r="B72" s="70"/>
    </row>
    <row r="73" spans="1:2" ht="15" customHeight="1" x14ac:dyDescent="0.25">
      <c r="A73" s="70" t="s">
        <v>291</v>
      </c>
      <c r="B73" s="70"/>
    </row>
    <row r="74" spans="1:2" ht="15" customHeight="1" x14ac:dyDescent="0.25">
      <c r="A74" s="70" t="s">
        <v>292</v>
      </c>
      <c r="B74" s="70"/>
    </row>
    <row r="75" spans="1:2" ht="15" customHeight="1" x14ac:dyDescent="0.25">
      <c r="A75" s="70" t="s">
        <v>293</v>
      </c>
      <c r="B75" s="70"/>
    </row>
    <row r="76" spans="1:2" ht="15" customHeight="1" x14ac:dyDescent="0.25">
      <c r="A76" s="70" t="s">
        <v>294</v>
      </c>
      <c r="B76" s="70"/>
    </row>
    <row r="77" spans="1:2" ht="15" customHeight="1" x14ac:dyDescent="0.25">
      <c r="A77" s="70" t="s">
        <v>295</v>
      </c>
      <c r="B77" s="70"/>
    </row>
    <row r="78" spans="1:2" ht="15" customHeight="1" x14ac:dyDescent="0.25">
      <c r="A78" s="70" t="s">
        <v>296</v>
      </c>
      <c r="B78" s="70"/>
    </row>
    <row r="79" spans="1:2" ht="15" customHeight="1" x14ac:dyDescent="0.25">
      <c r="A79" s="70" t="s">
        <v>297</v>
      </c>
      <c r="B79" s="70"/>
    </row>
    <row r="80" spans="1:2" ht="15" customHeight="1" x14ac:dyDescent="0.25">
      <c r="A80" s="70" t="s">
        <v>298</v>
      </c>
      <c r="B80" s="70"/>
    </row>
    <row r="81" spans="1:2" ht="15" customHeight="1" x14ac:dyDescent="0.25">
      <c r="A81" s="70" t="s">
        <v>299</v>
      </c>
      <c r="B81" s="70"/>
    </row>
    <row r="82" spans="1:2" ht="15" customHeight="1" x14ac:dyDescent="0.25">
      <c r="A82" s="70" t="s">
        <v>248</v>
      </c>
      <c r="B82" s="70"/>
    </row>
    <row r="83" spans="1:2" ht="15" customHeight="1" x14ac:dyDescent="0.25">
      <c r="A83" s="70" t="s">
        <v>300</v>
      </c>
      <c r="B83" s="70"/>
    </row>
    <row r="84" spans="1:2" ht="15" customHeight="1" x14ac:dyDescent="0.25">
      <c r="A84" s="70" t="s">
        <v>301</v>
      </c>
      <c r="B84" s="70"/>
    </row>
    <row r="85" spans="1:2" ht="15" customHeight="1" x14ac:dyDescent="0.25">
      <c r="A85" s="70" t="s">
        <v>302</v>
      </c>
      <c r="B85" s="70"/>
    </row>
    <row r="86" spans="1:2" ht="15" customHeight="1" x14ac:dyDescent="0.25">
      <c r="A86" s="70" t="s">
        <v>303</v>
      </c>
      <c r="B86" s="70"/>
    </row>
    <row r="87" spans="1:2" ht="15" customHeight="1" x14ac:dyDescent="0.25">
      <c r="A87" s="70" t="s">
        <v>304</v>
      </c>
      <c r="B87" s="70"/>
    </row>
    <row r="88" spans="1:2" ht="15" customHeight="1" x14ac:dyDescent="0.25">
      <c r="A88" s="70" t="s">
        <v>305</v>
      </c>
      <c r="B88" s="70"/>
    </row>
    <row r="89" spans="1:2" ht="15" customHeight="1" x14ac:dyDescent="0.25">
      <c r="A89" s="70" t="s">
        <v>248</v>
      </c>
      <c r="B89" s="70"/>
    </row>
    <row r="90" spans="1:2" ht="15" customHeight="1" x14ac:dyDescent="0.25">
      <c r="A90" s="70" t="s">
        <v>306</v>
      </c>
      <c r="B90" s="70"/>
    </row>
    <row r="91" spans="1:2" ht="15" customHeight="1" x14ac:dyDescent="0.25">
      <c r="A91" s="70" t="s">
        <v>307</v>
      </c>
      <c r="B91" s="70"/>
    </row>
    <row r="92" spans="1:2" ht="15" customHeight="1" x14ac:dyDescent="0.25">
      <c r="A92" s="70" t="s">
        <v>308</v>
      </c>
      <c r="B92" s="70"/>
    </row>
    <row r="93" spans="1:2" ht="15" customHeight="1" x14ac:dyDescent="0.25">
      <c r="A93" s="70" t="s">
        <v>309</v>
      </c>
      <c r="B93" s="70"/>
    </row>
    <row r="94" spans="1:2" ht="15" customHeight="1" x14ac:dyDescent="0.25">
      <c r="A94" s="70" t="s">
        <v>310</v>
      </c>
      <c r="B94" s="70"/>
    </row>
    <row r="95" spans="1:2" ht="15" customHeight="1" x14ac:dyDescent="0.25">
      <c r="A95" s="70"/>
      <c r="B95" s="70"/>
    </row>
    <row r="96" spans="1:2" ht="15" customHeight="1" x14ac:dyDescent="0.25">
      <c r="A96" s="70" t="s">
        <v>311</v>
      </c>
      <c r="B96" s="70"/>
    </row>
    <row r="97" spans="1:2" ht="15" customHeight="1" x14ac:dyDescent="0.25">
      <c r="A97" s="70" t="s">
        <v>312</v>
      </c>
      <c r="B97" s="70"/>
    </row>
    <row r="98" spans="1:2" ht="15" customHeight="1" x14ac:dyDescent="0.25">
      <c r="A98" s="70" t="s">
        <v>313</v>
      </c>
      <c r="B98" s="70"/>
    </row>
    <row r="99" spans="1:2" ht="15" customHeight="1" x14ac:dyDescent="0.25">
      <c r="A99" s="70" t="s">
        <v>314</v>
      </c>
      <c r="B99" s="70"/>
    </row>
    <row r="100" spans="1:2" ht="15" customHeight="1" x14ac:dyDescent="0.25">
      <c r="A100" s="70" t="s">
        <v>262</v>
      </c>
      <c r="B100" s="70"/>
    </row>
    <row r="101" spans="1:2" ht="15" customHeight="1" x14ac:dyDescent="0.25">
      <c r="A101" s="70" t="s">
        <v>263</v>
      </c>
      <c r="B101" s="70"/>
    </row>
    <row r="102" spans="1:2" ht="15" customHeight="1" x14ac:dyDescent="0.25">
      <c r="A102" s="70" t="s">
        <v>315</v>
      </c>
      <c r="B102" s="70"/>
    </row>
    <row r="103" spans="1:2" ht="15" customHeight="1" x14ac:dyDescent="0.25">
      <c r="A103" s="70" t="s">
        <v>316</v>
      </c>
      <c r="B103" s="70"/>
    </row>
    <row r="104" spans="1:2" ht="15" customHeight="1" x14ac:dyDescent="0.25">
      <c r="A104" s="70" t="s">
        <v>317</v>
      </c>
      <c r="B104" s="70"/>
    </row>
    <row r="105" spans="1:2" ht="15" customHeight="1" x14ac:dyDescent="0.25">
      <c r="A105" s="70" t="s">
        <v>318</v>
      </c>
      <c r="B105" s="70"/>
    </row>
    <row r="106" spans="1:2" ht="15" customHeight="1" x14ac:dyDescent="0.25">
      <c r="A106" s="70" t="s">
        <v>268</v>
      </c>
      <c r="B106" s="70"/>
    </row>
    <row r="107" spans="1:2" ht="15" customHeight="1" x14ac:dyDescent="0.25">
      <c r="A107" s="70" t="s">
        <v>319</v>
      </c>
      <c r="B107" s="70"/>
    </row>
    <row r="108" spans="1:2" ht="15" customHeight="1" x14ac:dyDescent="0.25">
      <c r="A108" s="70" t="s">
        <v>320</v>
      </c>
      <c r="B108" s="70"/>
    </row>
    <row r="109" spans="1:2" ht="15" customHeight="1" x14ac:dyDescent="0.25">
      <c r="A109" s="70" t="s">
        <v>321</v>
      </c>
      <c r="B109" s="70"/>
    </row>
    <row r="110" spans="1:2" ht="15" customHeight="1" x14ac:dyDescent="0.25">
      <c r="A110" s="70" t="s">
        <v>310</v>
      </c>
      <c r="B110" s="70"/>
    </row>
  </sheetData>
  <mergeCells count="109">
    <mergeCell ref="A1:B1"/>
    <mergeCell ref="A3:B3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25:B25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45:B45"/>
    <mergeCell ref="A46:B46"/>
    <mergeCell ref="A47:B47"/>
    <mergeCell ref="A48:B48"/>
    <mergeCell ref="A49:B49"/>
    <mergeCell ref="A50:B50"/>
    <mergeCell ref="A51:B51"/>
    <mergeCell ref="A52:B52"/>
    <mergeCell ref="A53:B53"/>
    <mergeCell ref="A54:B54"/>
    <mergeCell ref="A55:B55"/>
    <mergeCell ref="A56:B56"/>
    <mergeCell ref="A57:B57"/>
    <mergeCell ref="A58:B58"/>
    <mergeCell ref="A59:B59"/>
    <mergeCell ref="A60:B60"/>
    <mergeCell ref="A61:B61"/>
    <mergeCell ref="A62:B62"/>
    <mergeCell ref="A63:B63"/>
    <mergeCell ref="A64:B64"/>
    <mergeCell ref="A65:B65"/>
    <mergeCell ref="A66:B66"/>
    <mergeCell ref="A67:B67"/>
    <mergeCell ref="A68:B68"/>
    <mergeCell ref="A69:B69"/>
    <mergeCell ref="A70:B70"/>
    <mergeCell ref="A71:B71"/>
    <mergeCell ref="A72:B72"/>
    <mergeCell ref="A73:B73"/>
    <mergeCell ref="A74:B74"/>
    <mergeCell ref="A75:B75"/>
    <mergeCell ref="A76:B76"/>
    <mergeCell ref="A77:B77"/>
    <mergeCell ref="A78:B78"/>
    <mergeCell ref="A79:B79"/>
    <mergeCell ref="A80:B80"/>
    <mergeCell ref="A81:B81"/>
    <mergeCell ref="A82:B82"/>
    <mergeCell ref="A83:B83"/>
    <mergeCell ref="A84:B84"/>
    <mergeCell ref="A85:B85"/>
    <mergeCell ref="A86:B86"/>
    <mergeCell ref="A87:B87"/>
    <mergeCell ref="A88:B88"/>
    <mergeCell ref="A89:B89"/>
    <mergeCell ref="A90:B90"/>
    <mergeCell ref="A91:B91"/>
    <mergeCell ref="A92:B92"/>
    <mergeCell ref="A93:B93"/>
    <mergeCell ref="A94:B94"/>
    <mergeCell ref="A95:B95"/>
    <mergeCell ref="A96:B96"/>
    <mergeCell ref="A97:B97"/>
    <mergeCell ref="A98:B98"/>
    <mergeCell ref="A99:B99"/>
    <mergeCell ref="A100:B100"/>
    <mergeCell ref="A110:B110"/>
    <mergeCell ref="A101:B101"/>
    <mergeCell ref="A102:B102"/>
    <mergeCell ref="A103:B103"/>
    <mergeCell ref="A104:B104"/>
    <mergeCell ref="A105:B105"/>
    <mergeCell ref="A106:B106"/>
    <mergeCell ref="A107:B107"/>
    <mergeCell ref="A108:B108"/>
    <mergeCell ref="A109:B109"/>
  </mergeCells>
  <pageMargins left="0.75" right="0.75" top="1" bottom="1" header="0.511811023622047" footer="0.511811023622047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Questionnaire</vt:lpstr>
      <vt:lpstr>Balanced Score Matrix</vt:lpstr>
      <vt:lpstr>Member Database</vt:lpstr>
      <vt:lpstr>Export &amp; Code Guide</vt:lpstr>
      <vt:lpstr>VBA Setup Instructions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jeremy how</cp:lastModifiedBy>
  <cp:revision>0</cp:revision>
  <dcterms:created xsi:type="dcterms:W3CDTF">2026-04-21T08:50:42Z</dcterms:created>
  <dcterms:modified xsi:type="dcterms:W3CDTF">2026-04-21T09:53:18Z</dcterms:modified>
  <dc:language>en-US</dc:language>
</cp:coreProperties>
</file>