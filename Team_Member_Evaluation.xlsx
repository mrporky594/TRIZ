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naire" sheetId="1" r:id="rId5"/>
    <sheet state="visible" name="Balanced Score Matrix" sheetId="2" r:id="rId6"/>
  </sheets>
  <definedNames/>
  <calcPr/>
</workbook>
</file>

<file path=xl/sharedStrings.xml><?xml version="1.0" encoding="utf-8"?>
<sst xmlns="http://schemas.openxmlformats.org/spreadsheetml/2006/main" count="225" uniqueCount="118">
  <si>
    <t>TEAM MEMBER EVALUATION QUESTIONNAIRE</t>
  </si>
  <si>
    <t>Project Team Membership Assessment  |  Balanced Skill Scorecard</t>
  </si>
  <si>
    <t>Candidate Name:  ___________________________</t>
  </si>
  <si>
    <t>Evaluator:  ___________________________</t>
  </si>
  <si>
    <t>Date:  ___________________________</t>
  </si>
  <si>
    <t>#</t>
  </si>
  <si>
    <t>Category</t>
  </si>
  <si>
    <t>Question / Behavioural Indicator</t>
  </si>
  <si>
    <t>Evidence / Notes</t>
  </si>
  <si>
    <t>Rating
(1–5)</t>
  </si>
  <si>
    <t>Weight</t>
  </si>
  <si>
    <t>Rating Scale:  1 = Well Below Expectations  |  2 = Below Expectations  |  3 = Meets Expectations  |  4 = Exceeds Expectations  |  5 = Exceptional</t>
  </si>
  <si>
    <t xml:space="preserve">  TECHNICAL SKILLS</t>
  </si>
  <si>
    <t>T1</t>
  </si>
  <si>
    <t>Domain Expertise</t>
  </si>
  <si>
    <t>Does the individual demonstrate strong knowledge in their core discipline (e.g., market research, finance, software programming)?</t>
  </si>
  <si>
    <t>25%</t>
  </si>
  <si>
    <t>T2</t>
  </si>
  <si>
    <t>Applied Technical Skill</t>
  </si>
  <si>
    <t>Can they translate technical knowledge into actionable outputs relevant to the project's goals?</t>
  </si>
  <si>
    <t>T3</t>
  </si>
  <si>
    <t>Continuous Learning</t>
  </si>
  <si>
    <t>Do they actively update their skills and stay current with developments in their field?</t>
  </si>
  <si>
    <t>T4</t>
  </si>
  <si>
    <t>Quality of Technical Output</t>
  </si>
  <si>
    <t>Is the quality, accuracy, and rigour of their work consistently high?</t>
  </si>
  <si>
    <t>T5</t>
  </si>
  <si>
    <t>Cross-Functional Technical Contribution</t>
  </si>
  <si>
    <t>Can they apply their technical skills beyond their immediate function to support broader team needs?</t>
  </si>
  <si>
    <t xml:space="preserve">  Technical Sub-Total (avg × weight)</t>
  </si>
  <si>
    <t xml:space="preserve">  PROBLEM SOLVING SKILLS</t>
  </si>
  <si>
    <t>P1</t>
  </si>
  <si>
    <t>Analytical Thinking</t>
  </si>
  <si>
    <t>Does the individual break down complex problems systematically and identify root causes?</t>
  </si>
  <si>
    <t>P2</t>
  </si>
  <si>
    <t>Creative Solution Crafting</t>
  </si>
  <si>
    <t>Do they generate innovative or non-obvious solutions when faced with difficult impasses?</t>
  </si>
  <si>
    <t>P3</t>
  </si>
  <si>
    <t>Decision-Making Under Uncertainty</t>
  </si>
  <si>
    <t>Can they make sound judgements with incomplete information and manage associated risks?</t>
  </si>
  <si>
    <t>P4</t>
  </si>
  <si>
    <t>Resourcefulness</t>
  </si>
  <si>
    <t>Do they find ways to progress even when resources or information are limited?</t>
  </si>
  <si>
    <t>P5</t>
  </si>
  <si>
    <t>Lessons-Learned Orientation</t>
  </si>
  <si>
    <t>Do they reflect on past problems and apply those insights to avoid repeating mistakes?</t>
  </si>
  <si>
    <t xml:space="preserve">  Problem Solving Sub-Total (avg × weight)</t>
  </si>
  <si>
    <t xml:space="preserve">  INTERPERSONAL SKILLS</t>
  </si>
  <si>
    <t>I1</t>
  </si>
  <si>
    <t>Collaborative Disposition</t>
  </si>
  <si>
    <t>Does the individual actively share knowledge, credit, and workload with teammates rather than working in isolation?</t>
  </si>
  <si>
    <t>I2</t>
  </si>
  <si>
    <t>Communication Clarity</t>
  </si>
  <si>
    <t>Do they express ideas clearly and adapt their communication style to different audiences?</t>
  </si>
  <si>
    <t>I3</t>
  </si>
  <si>
    <t>Active Listening</t>
  </si>
  <si>
    <t>Do they genuinely engage with others' input before responding, and incorporate feedback constructively?</t>
  </si>
  <si>
    <t>I4</t>
  </si>
  <si>
    <t>Conflict Management</t>
  </si>
  <si>
    <t>When disagreements arise, do they work toward resolution without undermining team cohesion?</t>
  </si>
  <si>
    <t>I5</t>
  </si>
  <si>
    <t>Empathy &amp; Trust-Building</t>
  </si>
  <si>
    <t>Do they build psychological safety, making it easy for colleagues to speak up and contribute?</t>
  </si>
  <si>
    <t xml:space="preserve">  Interpersonal Sub-Total (avg × weight)</t>
  </si>
  <si>
    <t xml:space="preserve">  ORGANIZATIONAL SKILLS</t>
  </si>
  <si>
    <t>O1</t>
  </si>
  <si>
    <t>Networking Effectiveness</t>
  </si>
  <si>
    <t>Does the individual cultivate productive relationships across the organisation that benefit the team?</t>
  </si>
  <si>
    <t>O2</t>
  </si>
  <si>
    <t>Resource Mobilisation</t>
  </si>
  <si>
    <t>Can they secure budgets, information, or personnel support from operating units when needed?</t>
  </si>
  <si>
    <t>O3</t>
  </si>
  <si>
    <t>Stakeholder Navigation</t>
  </si>
  <si>
    <t>Do they understand the political landscape and manage upward / lateral relationships diplomatically?</t>
  </si>
  <si>
    <t>O4</t>
  </si>
  <si>
    <t>Cross-Unit Communication</t>
  </si>
  <si>
    <t>Do they keep relevant parts of the organisation informed and aligned, preventing conflicts before they arise?</t>
  </si>
  <si>
    <t>O5</t>
  </si>
  <si>
    <t>Alignment with Organisational Goals</t>
  </si>
  <si>
    <t>Do their day-to-day actions consistently advance both the project's objectives and the company's strategic priorities?</t>
  </si>
  <si>
    <t xml:space="preserve">  Organizational Sub-Total (avg × weight)</t>
  </si>
  <si>
    <t xml:space="preserve">  OVERALL BALANCED SCORE  (max 5.00)</t>
  </si>
  <si>
    <t>Recommendation:</t>
  </si>
  <si>
    <t xml:space="preserve">  ☐ Strong Recommend   ☐ Recommend with Conditions   ☐ Recommend for Mentorship   ☐ Do Not Recommend at this time</t>
  </si>
  <si>
    <t>Notes / Development Areas:</t>
  </si>
  <si>
    <t>TEAM MEMBERSHIP – BALANCED SCORE MATRIX</t>
  </si>
  <si>
    <t>Consolidated view across all four competency pillars  |  Scores auto-populated from Questionnaire sheet</t>
  </si>
  <si>
    <t>Competency / Indicator</t>
  </si>
  <si>
    <t>Technical
(25%)</t>
  </si>
  <si>
    <t>Problem
Solving (25%)</t>
  </si>
  <si>
    <t>Interpersonal
(25%)</t>
  </si>
  <si>
    <t>Organisational
(25%)</t>
  </si>
  <si>
    <t>Avg Score
(1–5)</t>
  </si>
  <si>
    <t>Weighted
Contribution</t>
  </si>
  <si>
    <t>Performance Band</t>
  </si>
  <si>
    <t>–</t>
  </si>
  <si>
    <t xml:space="preserve">  Technical Average</t>
  </si>
  <si>
    <t xml:space="preserve">  Problem Solving Average</t>
  </si>
  <si>
    <t xml:space="preserve">  Interpersonal Average</t>
  </si>
  <si>
    <t xml:space="preserve">  Organizational Average</t>
  </si>
  <si>
    <t xml:space="preserve">  OVERALL BALANCED SCORE  (sum of weighted category averages)</t>
  </si>
  <si>
    <t>INTERPRETATION GUIDE</t>
  </si>
  <si>
    <t>4.50 – 5.00</t>
  </si>
  <si>
    <t>Exceptional</t>
  </si>
  <si>
    <t>Rare top talent; prioritise for team.</t>
  </si>
  <si>
    <t>3.50 – 4.49</t>
  </si>
  <si>
    <t>Exceeds</t>
  </si>
  <si>
    <t>Strong candidate; minor gaps manageable.</t>
  </si>
  <si>
    <t>2.50 – 3.49</t>
  </si>
  <si>
    <t>Meets</t>
  </si>
  <si>
    <t>Solid contributor; pair with mentors for growth.</t>
  </si>
  <si>
    <t>1.50 – 2.49</t>
  </si>
  <si>
    <t>Below</t>
  </si>
  <si>
    <t>Significant gaps; consider development plan first.</t>
  </si>
  <si>
    <t>1.00 – 1.49</t>
  </si>
  <si>
    <t>Well Below</t>
  </si>
  <si>
    <t>Not recommended at this time.</t>
  </si>
  <si>
    <t>⚑  Note: Equal 25% weighting reflects the framework's emphasis that Interpersonal and Organisational skills are as critical as Technical skills. Sponsors may adjust weights to fit specific project needs.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</si>
</sst>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3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BDD7EE"/>
      <name val="Arial"/>
    </font>
    <font>
      <b/>
      <sz val="10.0"/>
      <color rgb="FF1F1F1F"/>
      <name val="Arial"/>
    </font>
    <font>
      <b/>
      <sz val="10.0"/>
      <color rgb="FFFFFFFF"/>
      <name val="Arial"/>
    </font>
    <font>
      <i/>
      <sz val="9.0"/>
      <color rgb="FF404040"/>
      <name val="Arial"/>
    </font>
    <font>
      <b/>
      <sz val="11.0"/>
      <color rgb="FFFFFFFF"/>
      <name val="Arial"/>
    </font>
    <font>
      <b/>
      <sz val="9.0"/>
      <color rgb="FF1F4E79"/>
      <name val="Arial"/>
    </font>
    <font>
      <sz val="9.0"/>
      <color rgb="FF1F1F1F"/>
      <name val="Arial"/>
    </font>
    <font>
      <sz val="11.0"/>
      <color theme="1"/>
      <name val="Calibri"/>
    </font>
    <font>
      <b/>
      <sz val="10.0"/>
      <color rgb="FF1F4E79"/>
      <name val="Arial"/>
    </font>
    <font>
      <sz val="10.0"/>
      <color rgb="FF1F4E79"/>
      <name val="Arial"/>
    </font>
    <font>
      <b/>
      <sz val="9.0"/>
      <color rgb="FF375623"/>
      <name val="Arial"/>
    </font>
    <font>
      <b/>
      <sz val="10.0"/>
      <color rgb="FF375623"/>
      <name val="Arial"/>
    </font>
    <font>
      <sz val="10.0"/>
      <color rgb="FF375623"/>
      <name val="Arial"/>
    </font>
    <font>
      <b/>
      <sz val="9.0"/>
      <color rgb="FF7B2C2C"/>
      <name val="Arial"/>
    </font>
    <font>
      <b/>
      <sz val="10.0"/>
      <color rgb="FF7B2C2C"/>
      <name val="Arial"/>
    </font>
    <font>
      <sz val="10.0"/>
      <color rgb="FF7B2C2C"/>
      <name val="Arial"/>
    </font>
    <font>
      <b/>
      <sz val="9.0"/>
      <color rgb="FF4A235A"/>
      <name val="Arial"/>
    </font>
    <font>
      <b/>
      <sz val="10.0"/>
      <color rgb="FF4A235A"/>
      <name val="Arial"/>
    </font>
    <font>
      <sz val="10.0"/>
      <color rgb="FF4A235A"/>
      <name val="Arial"/>
    </font>
    <font>
      <b/>
      <sz val="12.0"/>
      <color rgb="FFFFFFFF"/>
      <name val="Arial"/>
    </font>
    <font>
      <b/>
      <sz val="10.0"/>
      <color theme="1"/>
      <name val="Arial"/>
    </font>
    <font>
      <sz val="10.0"/>
      <color rgb="FF1F1F1F"/>
      <name val="Arial"/>
    </font>
    <font>
      <b/>
      <sz val="15.0"/>
      <color rgb="FFFFFFFF"/>
      <name val="Arial"/>
    </font>
    <font>
      <i/>
      <sz val="9.0"/>
      <color rgb="FFBDD7EE"/>
      <name val="Arial"/>
    </font>
    <font>
      <b/>
      <sz val="9.0"/>
      <color rgb="FFFFFFFF"/>
      <name val="Arial"/>
    </font>
    <font>
      <sz val="9.0"/>
      <color rgb="FFBFBFBF"/>
      <name val="Arial"/>
    </font>
    <font>
      <b/>
      <sz val="10.0"/>
      <color rgb="FF538135"/>
      <name val="Arial"/>
    </font>
    <font>
      <b/>
      <sz val="10.0"/>
      <color rgb="FF7F7F7F"/>
      <name val="Arial"/>
    </font>
    <font>
      <b/>
      <sz val="10.0"/>
      <color rgb="FFC55A11"/>
      <name val="Arial"/>
    </font>
    <font>
      <b/>
      <sz val="10.0"/>
      <color rgb="FFC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7B2C2C"/>
        <bgColor rgb="FF7B2C2C"/>
      </patternFill>
    </fill>
    <fill>
      <patternFill patternType="solid">
        <fgColor rgb="FFFCE4D6"/>
        <bgColor rgb="FFFCE4D6"/>
      </patternFill>
    </fill>
    <fill>
      <patternFill patternType="solid">
        <fgColor rgb="FF4A235A"/>
        <bgColor rgb="FF4A235A"/>
      </patternFill>
    </fill>
    <fill>
      <patternFill patternType="solid">
        <fgColor rgb="FFEAD1DC"/>
        <bgColor rgb="FFEAD1DC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538135"/>
        <bgColor rgb="FF538135"/>
      </patternFill>
    </fill>
    <fill>
      <patternFill patternType="solid">
        <fgColor rgb="FF7F7F7F"/>
        <bgColor rgb="FF7F7F7F"/>
      </patternFill>
    </fill>
    <fill>
      <patternFill patternType="solid">
        <fgColor rgb="FFC55A11"/>
        <bgColor rgb="FFC55A11"/>
      </patternFill>
    </fill>
    <fill>
      <patternFill patternType="solid">
        <fgColor rgb="FFC00000"/>
        <bgColor rgb="FFC0000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medium">
        <color rgb="FF595959"/>
      </left>
      <top style="medium">
        <color rgb="FF595959"/>
      </top>
      <bottom style="medium">
        <color rgb="FF595959"/>
      </bottom>
    </border>
    <border>
      <top style="medium">
        <color rgb="FF595959"/>
      </top>
      <bottom style="medium">
        <color rgb="FF595959"/>
      </bottom>
    </border>
    <border>
      <right/>
      <top style="medium">
        <color rgb="FF595959"/>
      </top>
      <bottom style="medium">
        <color rgb="FF595959"/>
      </bottom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medium">
        <color rgb="FF595959"/>
      </right>
      <top style="medium">
        <color rgb="FF595959"/>
      </top>
      <bottom style="medium">
        <color rgb="FF595959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4" fillId="3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5" fontId="7" numFmtId="0" xfId="0" applyAlignment="1" applyBorder="1" applyFill="1" applyFont="1">
      <alignment horizontal="left" vertical="center"/>
    </xf>
    <xf borderId="4" fillId="6" fontId="8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ont="1">
      <alignment horizontal="left" shrinkToFit="0" vertical="center" wrapText="1"/>
    </xf>
    <xf borderId="4" fillId="8" fontId="9" numFmtId="0" xfId="0" applyAlignment="1" applyBorder="1" applyFont="1">
      <alignment horizontal="left" shrinkToFit="0" vertical="center" wrapText="1"/>
    </xf>
    <xf borderId="4" fillId="8" fontId="10" numFmtId="0" xfId="0" applyAlignment="1" applyBorder="1" applyFont="1">
      <alignment horizontal="left" shrinkToFit="0" vertical="center" wrapText="1"/>
    </xf>
    <xf borderId="4" fillId="6" fontId="12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left" vertical="center"/>
    </xf>
    <xf borderId="4" fillId="5" fontId="5" numFmtId="2" xfId="0" applyAlignment="1" applyBorder="1" applyFont="1" applyNumberFormat="1">
      <alignment horizontal="center" shrinkToFit="0" vertical="center" wrapText="1"/>
    </xf>
    <xf borderId="4" fillId="5" fontId="10" numFmtId="0" xfId="0" applyBorder="1" applyFont="1"/>
    <xf borderId="5" fillId="9" fontId="7" numFmtId="0" xfId="0" applyAlignment="1" applyBorder="1" applyFill="1" applyFont="1">
      <alignment horizontal="left" vertical="center"/>
    </xf>
    <xf borderId="4" fillId="10" fontId="13" numFmtId="0" xfId="0" applyAlignment="1" applyBorder="1" applyFill="1" applyFont="1">
      <alignment horizontal="center" shrinkToFit="0" vertical="center" wrapText="1"/>
    </xf>
    <xf borderId="4" fillId="10" fontId="4" numFmtId="0" xfId="0" applyAlignment="1" applyBorder="1" applyFont="1">
      <alignment horizontal="left" shrinkToFit="0" vertical="center" wrapText="1"/>
    </xf>
    <xf borderId="4" fillId="10" fontId="9" numFmtId="0" xfId="0" applyAlignment="1" applyBorder="1" applyFont="1">
      <alignment horizontal="left" shrinkToFit="0" vertical="center" wrapText="1"/>
    </xf>
    <xf borderId="4" fillId="10" fontId="10" numFmtId="0" xfId="0" applyAlignment="1" applyBorder="1" applyFont="1">
      <alignment horizontal="left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4" fillId="8" fontId="13" numFmtId="0" xfId="0" applyAlignment="1" applyBorder="1" applyFont="1">
      <alignment horizontal="center" shrinkToFit="0" vertical="center" wrapText="1"/>
    </xf>
    <xf borderId="4" fillId="10" fontId="15" numFmtId="0" xfId="0" applyAlignment="1" applyBorder="1" applyFont="1">
      <alignment horizontal="center" shrinkToFit="0" vertical="center" wrapText="1"/>
    </xf>
    <xf borderId="5" fillId="9" fontId="5" numFmtId="0" xfId="0" applyAlignment="1" applyBorder="1" applyFont="1">
      <alignment horizontal="left" vertical="center"/>
    </xf>
    <xf borderId="4" fillId="9" fontId="5" numFmtId="2" xfId="0" applyAlignment="1" applyBorder="1" applyFont="1" applyNumberFormat="1">
      <alignment horizontal="center" shrinkToFit="0" vertical="center" wrapText="1"/>
    </xf>
    <xf borderId="4" fillId="9" fontId="10" numFmtId="0" xfId="0" applyBorder="1" applyFont="1"/>
    <xf borderId="5" fillId="11" fontId="7" numFmtId="0" xfId="0" applyAlignment="1" applyBorder="1" applyFill="1" applyFont="1">
      <alignment horizontal="left" vertical="center"/>
    </xf>
    <xf borderId="4" fillId="12" fontId="16" numFmtId="0" xfId="0" applyAlignment="1" applyBorder="1" applyFill="1" applyFont="1">
      <alignment horizontal="center" shrinkToFit="0" vertical="center" wrapText="1"/>
    </xf>
    <xf borderId="4" fillId="12" fontId="4" numFmtId="0" xfId="0" applyAlignment="1" applyBorder="1" applyFont="1">
      <alignment horizontal="left" shrinkToFit="0" vertical="center" wrapText="1"/>
    </xf>
    <xf borderId="4" fillId="12" fontId="9" numFmtId="0" xfId="0" applyAlignment="1" applyBorder="1" applyFont="1">
      <alignment horizontal="left" shrinkToFit="0" vertical="center" wrapText="1"/>
    </xf>
    <xf borderId="4" fillId="12" fontId="10" numFmtId="0" xfId="0" applyAlignment="1" applyBorder="1" applyFont="1">
      <alignment horizontal="left" shrinkToFit="0" vertical="center" wrapText="1"/>
    </xf>
    <xf borderId="4" fillId="12" fontId="17" numFmtId="0" xfId="0" applyAlignment="1" applyBorder="1" applyFont="1">
      <alignment horizontal="center" shrinkToFit="0" vertical="center" wrapText="1"/>
    </xf>
    <xf borderId="4" fillId="8" fontId="16" numFmtId="0" xfId="0" applyAlignment="1" applyBorder="1" applyFont="1">
      <alignment horizontal="center" shrinkToFit="0" vertical="center" wrapText="1"/>
    </xf>
    <xf borderId="4" fillId="12" fontId="18" numFmtId="0" xfId="0" applyAlignment="1" applyBorder="1" applyFont="1">
      <alignment horizontal="center" shrinkToFit="0" vertical="center" wrapText="1"/>
    </xf>
    <xf borderId="5" fillId="11" fontId="5" numFmtId="0" xfId="0" applyAlignment="1" applyBorder="1" applyFont="1">
      <alignment horizontal="left" vertical="center"/>
    </xf>
    <xf borderId="4" fillId="11" fontId="5" numFmtId="2" xfId="0" applyAlignment="1" applyBorder="1" applyFont="1" applyNumberFormat="1">
      <alignment horizontal="center" shrinkToFit="0" vertical="center" wrapText="1"/>
    </xf>
    <xf borderId="4" fillId="11" fontId="10" numFmtId="0" xfId="0" applyBorder="1" applyFont="1"/>
    <xf borderId="5" fillId="13" fontId="7" numFmtId="0" xfId="0" applyAlignment="1" applyBorder="1" applyFill="1" applyFont="1">
      <alignment horizontal="left" vertical="center"/>
    </xf>
    <xf borderId="4" fillId="14" fontId="19" numFmtId="0" xfId="0" applyAlignment="1" applyBorder="1" applyFill="1" applyFont="1">
      <alignment horizontal="center" shrinkToFit="0" vertical="center" wrapText="1"/>
    </xf>
    <xf borderId="4" fillId="14" fontId="4" numFmtId="0" xfId="0" applyAlignment="1" applyBorder="1" applyFont="1">
      <alignment horizontal="left" shrinkToFit="0" vertical="center" wrapText="1"/>
    </xf>
    <xf borderId="4" fillId="14" fontId="9" numFmtId="0" xfId="0" applyAlignment="1" applyBorder="1" applyFont="1">
      <alignment horizontal="left" shrinkToFit="0" vertical="center" wrapText="1"/>
    </xf>
    <xf borderId="4" fillId="14" fontId="10" numFmtId="0" xfId="0" applyAlignment="1" applyBorder="1" applyFont="1">
      <alignment horizontal="left" shrinkToFit="0" vertical="center" wrapText="1"/>
    </xf>
    <xf borderId="4" fillId="14" fontId="20" numFmtId="0" xfId="0" applyAlignment="1" applyBorder="1" applyFont="1">
      <alignment horizontal="center" shrinkToFit="0" vertical="center" wrapText="1"/>
    </xf>
    <xf borderId="4" fillId="8" fontId="19" numFmtId="0" xfId="0" applyAlignment="1" applyBorder="1" applyFont="1">
      <alignment horizontal="center" shrinkToFit="0" vertical="center" wrapText="1"/>
    </xf>
    <xf borderId="4" fillId="14" fontId="21" numFmtId="0" xfId="0" applyAlignment="1" applyBorder="1" applyFont="1">
      <alignment horizontal="center" shrinkToFit="0" vertical="center" wrapText="1"/>
    </xf>
    <xf borderId="5" fillId="13" fontId="5" numFmtId="0" xfId="0" applyAlignment="1" applyBorder="1" applyFont="1">
      <alignment horizontal="left" vertical="center"/>
    </xf>
    <xf borderId="4" fillId="13" fontId="5" numFmtId="2" xfId="0" applyAlignment="1" applyBorder="1" applyFont="1" applyNumberFormat="1">
      <alignment horizontal="center" shrinkToFit="0" vertical="center" wrapText="1"/>
    </xf>
    <xf borderId="4" fillId="13" fontId="10" numFmtId="0" xfId="0" applyBorder="1" applyFont="1"/>
    <xf borderId="8" fillId="2" fontId="22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11" fillId="2" fontId="22" numFmtId="2" xfId="0" applyAlignment="1" applyBorder="1" applyFont="1" applyNumberFormat="1">
      <alignment horizontal="center" shrinkToFit="0" vertical="center" wrapText="1"/>
    </xf>
    <xf borderId="11" fillId="2" fontId="10" numFmtId="0" xfId="0" applyBorder="1" applyFont="1"/>
    <xf borderId="1" fillId="15" fontId="23" numFmtId="0" xfId="0" applyAlignment="1" applyBorder="1" applyFill="1" applyFont="1">
      <alignment horizontal="left" vertical="center"/>
    </xf>
    <xf borderId="1" fillId="8" fontId="24" numFmtId="0" xfId="0" applyAlignment="1" applyBorder="1" applyFont="1">
      <alignment horizontal="left" vertical="center"/>
    </xf>
    <xf borderId="1" fillId="15" fontId="23" numFmtId="0" xfId="0" applyAlignment="1" applyBorder="1" applyFont="1">
      <alignment horizontal="left" shrinkToFit="0" vertical="center" wrapText="1"/>
    </xf>
    <xf borderId="5" fillId="8" fontId="10" numFmtId="0" xfId="0" applyBorder="1" applyFont="1"/>
    <xf borderId="1" fillId="2" fontId="25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horizontal="center" shrinkToFit="0" vertical="center" wrapText="1"/>
    </xf>
    <xf borderId="4" fillId="3" fontId="27" numFmtId="0" xfId="0" applyAlignment="1" applyBorder="1" applyFont="1">
      <alignment horizontal="center" shrinkToFit="0" vertical="center" wrapText="1"/>
    </xf>
    <xf borderId="4" fillId="5" fontId="27" numFmtId="0" xfId="0" applyAlignment="1" applyBorder="1" applyFont="1">
      <alignment horizontal="center" shrinkToFit="0" vertical="center" wrapText="1"/>
    </xf>
    <xf borderId="4" fillId="9" fontId="27" numFmtId="0" xfId="0" applyAlignment="1" applyBorder="1" applyFont="1">
      <alignment horizontal="center" shrinkToFit="0" vertical="center" wrapText="1"/>
    </xf>
    <xf borderId="4" fillId="11" fontId="27" numFmtId="0" xfId="0" applyAlignment="1" applyBorder="1" applyFont="1">
      <alignment horizontal="center" shrinkToFit="0" vertical="center" wrapText="1"/>
    </xf>
    <xf borderId="4" fillId="13" fontId="27" numFmtId="0" xfId="0" applyAlignment="1" applyBorder="1" applyFont="1">
      <alignment horizontal="center" shrinkToFit="0" vertical="center" wrapText="1"/>
    </xf>
    <xf borderId="4" fillId="16" fontId="27" numFmtId="0" xfId="0" applyAlignment="1" applyBorder="1" applyFill="1" applyFont="1">
      <alignment horizontal="center" shrinkToFit="0" vertical="center" wrapText="1"/>
    </xf>
    <xf borderId="4" fillId="17" fontId="27" numFmtId="0" xfId="0" applyAlignment="1" applyBorder="1" applyFill="1" applyFont="1">
      <alignment horizontal="center" shrinkToFit="0" vertical="center" wrapText="1"/>
    </xf>
    <xf borderId="4" fillId="7" fontId="10" numFmtId="1" xfId="0" applyAlignment="1" applyBorder="1" applyFont="1" applyNumberFormat="1">
      <alignment horizontal="center" shrinkToFit="0" vertical="center" wrapText="1"/>
    </xf>
    <xf borderId="4" fillId="6" fontId="28" numFmtId="0" xfId="0" applyAlignment="1" applyBorder="1" applyFont="1">
      <alignment horizontal="center" shrinkToFit="0" vertical="center" wrapText="1"/>
    </xf>
    <xf borderId="4" fillId="7" fontId="10" numFmtId="164" xfId="0" applyAlignment="1" applyBorder="1" applyFont="1" applyNumberFormat="1">
      <alignment horizontal="center" shrinkToFit="0" vertical="center" wrapText="1"/>
    </xf>
    <xf borderId="4" fillId="7" fontId="10" numFmtId="2" xfId="0" applyAlignment="1" applyBorder="1" applyFont="1" applyNumberFormat="1">
      <alignment horizontal="center" shrinkToFit="0" vertical="center" wrapText="1"/>
    </xf>
    <xf borderId="4" fillId="8" fontId="28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4" fillId="5" fontId="5" numFmtId="0" xfId="0" applyAlignment="1" applyBorder="1" applyFont="1">
      <alignment horizontal="center" shrinkToFit="0" vertical="center" wrapText="1"/>
    </xf>
    <xf borderId="4" fillId="10" fontId="28" numFmtId="0" xfId="0" applyAlignment="1" applyBorder="1" applyFont="1">
      <alignment horizontal="center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horizontal="center" shrinkToFit="0" vertical="center" wrapText="1"/>
    </xf>
    <xf borderId="4" fillId="12" fontId="28" numFmtId="0" xfId="0" applyAlignment="1" applyBorder="1" applyFont="1">
      <alignment horizontal="center" shrinkToFit="0" vertical="center" wrapText="1"/>
    </xf>
    <xf borderId="5" fillId="11" fontId="5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4" fillId="14" fontId="28" numFmtId="0" xfId="0" applyAlignment="1" applyBorder="1" applyFont="1">
      <alignment horizontal="center" shrinkToFit="0" vertical="center" wrapText="1"/>
    </xf>
    <xf borderId="5" fillId="13" fontId="5" numFmtId="0" xfId="0" applyAlignment="1" applyBorder="1" applyFont="1">
      <alignment horizontal="center" shrinkToFit="0" vertical="center" wrapText="1"/>
    </xf>
    <xf borderId="4" fillId="13" fontId="5" numFmtId="0" xfId="0" applyAlignment="1" applyBorder="1" applyFont="1">
      <alignment horizontal="center" shrinkToFit="0" vertical="center" wrapText="1"/>
    </xf>
    <xf borderId="8" fillId="2" fontId="22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1" fillId="2" fontId="22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left" vertical="center"/>
    </xf>
    <xf borderId="4" fillId="18" fontId="27" numFmtId="0" xfId="0" applyAlignment="1" applyBorder="1" applyFill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4" fillId="19" fontId="27" numFmtId="0" xfId="0" applyAlignment="1" applyBorder="1" applyFill="1" applyFont="1">
      <alignment horizontal="center" shrinkToFit="0" vertical="center" wrapText="1"/>
    </xf>
    <xf borderId="5" fillId="0" fontId="30" numFmtId="0" xfId="0" applyAlignment="1" applyBorder="1" applyFont="1">
      <alignment horizontal="center" shrinkToFit="0" vertical="center" wrapText="1"/>
    </xf>
    <xf borderId="4" fillId="20" fontId="27" numFmtId="0" xfId="0" applyAlignment="1" applyBorder="1" applyFill="1" applyFont="1">
      <alignment horizontal="center" shrinkToFit="0" vertical="center" wrapText="1"/>
    </xf>
    <xf borderId="5" fillId="0" fontId="31" numFmtId="0" xfId="0" applyAlignment="1" applyBorder="1" applyFont="1">
      <alignment horizontal="center" shrinkToFit="0" vertical="center" wrapText="1"/>
    </xf>
    <xf borderId="4" fillId="21" fontId="27" numFmtId="0" xfId="0" applyAlignment="1" applyBorder="1" applyFill="1" applyFont="1">
      <alignment horizontal="center" shrinkToFit="0" vertical="center" wrapText="1"/>
    </xf>
    <xf borderId="5" fillId="0" fontId="32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52.0"/>
    <col customWidth="1" min="4" max="4" width="18.0"/>
    <col customWidth="1" min="5" max="6" width="14.0"/>
    <col customWidth="1" min="7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3" ht="6.0" customHeight="1"/>
    <row r="4" ht="21.75" customHeight="1">
      <c r="A4" s="5" t="s">
        <v>2</v>
      </c>
      <c r="C4" s="5" t="s">
        <v>3</v>
      </c>
      <c r="E4" s="5" t="s">
        <v>4</v>
      </c>
    </row>
    <row r="5" ht="6.0" customHeight="1"/>
    <row r="6" ht="31.5" customHeight="1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</row>
    <row r="7" ht="18.0" customHeight="1">
      <c r="A7" s="7" t="s">
        <v>11</v>
      </c>
      <c r="B7" s="8"/>
      <c r="C7" s="8"/>
      <c r="D7" s="8"/>
      <c r="E7" s="8"/>
      <c r="F7" s="9"/>
    </row>
    <row r="8" ht="21.75" customHeight="1">
      <c r="A8" s="10" t="s">
        <v>12</v>
      </c>
      <c r="B8" s="8"/>
      <c r="C8" s="8"/>
      <c r="D8" s="8"/>
      <c r="E8" s="8"/>
      <c r="F8" s="9"/>
    </row>
    <row r="9" ht="39.75" customHeight="1">
      <c r="A9" s="11" t="s">
        <v>13</v>
      </c>
      <c r="B9" s="12" t="s">
        <v>14</v>
      </c>
      <c r="C9" s="13" t="s">
        <v>15</v>
      </c>
      <c r="D9" s="14"/>
      <c r="E9" s="15"/>
      <c r="F9" s="16" t="s">
        <v>16</v>
      </c>
    </row>
    <row r="10" ht="39.75" customHeight="1">
      <c r="A10" s="17" t="s">
        <v>17</v>
      </c>
      <c r="B10" s="18" t="s">
        <v>18</v>
      </c>
      <c r="C10" s="19" t="s">
        <v>19</v>
      </c>
      <c r="D10" s="20"/>
      <c r="E10" s="15"/>
      <c r="F10" s="21"/>
    </row>
    <row r="11" ht="39.75" customHeight="1">
      <c r="A11" s="11" t="s">
        <v>20</v>
      </c>
      <c r="B11" s="12" t="s">
        <v>21</v>
      </c>
      <c r="C11" s="13" t="s">
        <v>22</v>
      </c>
      <c r="D11" s="14"/>
      <c r="E11" s="15"/>
      <c r="F11" s="21"/>
    </row>
    <row r="12" ht="39.75" customHeight="1">
      <c r="A12" s="17" t="s">
        <v>23</v>
      </c>
      <c r="B12" s="18" t="s">
        <v>24</v>
      </c>
      <c r="C12" s="19" t="s">
        <v>25</v>
      </c>
      <c r="D12" s="20"/>
      <c r="E12" s="15"/>
      <c r="F12" s="21"/>
    </row>
    <row r="13" ht="39.75" customHeight="1">
      <c r="A13" s="11" t="s">
        <v>26</v>
      </c>
      <c r="B13" s="12" t="s">
        <v>27</v>
      </c>
      <c r="C13" s="13" t="s">
        <v>28</v>
      </c>
      <c r="D13" s="14"/>
      <c r="E13" s="15"/>
      <c r="F13" s="21"/>
    </row>
    <row r="14" ht="19.5" customHeight="1">
      <c r="A14" s="22" t="s">
        <v>29</v>
      </c>
      <c r="B14" s="8"/>
      <c r="C14" s="8"/>
      <c r="D14" s="9"/>
      <c r="E14" s="23" t="str">
        <f>IFERROR(AVERAGE(E9:E13)*0.25,"")</f>
        <v/>
      </c>
      <c r="F14" s="24"/>
    </row>
    <row r="15" ht="21.75" customHeight="1">
      <c r="A15" s="25" t="s">
        <v>30</v>
      </c>
      <c r="B15" s="8"/>
      <c r="C15" s="8"/>
      <c r="D15" s="8"/>
      <c r="E15" s="8"/>
      <c r="F15" s="9"/>
    </row>
    <row r="16" ht="39.75" customHeight="1">
      <c r="A16" s="26" t="s">
        <v>31</v>
      </c>
      <c r="B16" s="27" t="s">
        <v>32</v>
      </c>
      <c r="C16" s="28" t="s">
        <v>33</v>
      </c>
      <c r="D16" s="29"/>
      <c r="E16" s="15"/>
      <c r="F16" s="30" t="s">
        <v>16</v>
      </c>
    </row>
    <row r="17" ht="39.75" customHeight="1">
      <c r="A17" s="31" t="s">
        <v>34</v>
      </c>
      <c r="B17" s="18" t="s">
        <v>35</v>
      </c>
      <c r="C17" s="19" t="s">
        <v>36</v>
      </c>
      <c r="D17" s="20"/>
      <c r="E17" s="15"/>
      <c r="F17" s="32"/>
    </row>
    <row r="18" ht="39.75" customHeight="1">
      <c r="A18" s="26" t="s">
        <v>37</v>
      </c>
      <c r="B18" s="27" t="s">
        <v>38</v>
      </c>
      <c r="C18" s="28" t="s">
        <v>39</v>
      </c>
      <c r="D18" s="29"/>
      <c r="E18" s="15"/>
      <c r="F18" s="32"/>
    </row>
    <row r="19" ht="39.75" customHeight="1">
      <c r="A19" s="31" t="s">
        <v>40</v>
      </c>
      <c r="B19" s="18" t="s">
        <v>41</v>
      </c>
      <c r="C19" s="19" t="s">
        <v>42</v>
      </c>
      <c r="D19" s="20"/>
      <c r="E19" s="15"/>
      <c r="F19" s="32"/>
    </row>
    <row r="20" ht="39.75" customHeight="1">
      <c r="A20" s="26" t="s">
        <v>43</v>
      </c>
      <c r="B20" s="27" t="s">
        <v>44</v>
      </c>
      <c r="C20" s="28" t="s">
        <v>45</v>
      </c>
      <c r="D20" s="29"/>
      <c r="E20" s="15"/>
      <c r="F20" s="32"/>
    </row>
    <row r="21" ht="19.5" customHeight="1">
      <c r="A21" s="33" t="s">
        <v>46</v>
      </c>
      <c r="B21" s="8"/>
      <c r="C21" s="8"/>
      <c r="D21" s="9"/>
      <c r="E21" s="34" t="str">
        <f>IFERROR(AVERAGE(E16:E20)*0.25,"")</f>
        <v/>
      </c>
      <c r="F21" s="35"/>
    </row>
    <row r="22" ht="21.75" customHeight="1">
      <c r="A22" s="36" t="s">
        <v>47</v>
      </c>
      <c r="B22" s="8"/>
      <c r="C22" s="8"/>
      <c r="D22" s="8"/>
      <c r="E22" s="8"/>
      <c r="F22" s="9"/>
    </row>
    <row r="23" ht="39.75" customHeight="1">
      <c r="A23" s="37" t="s">
        <v>48</v>
      </c>
      <c r="B23" s="38" t="s">
        <v>49</v>
      </c>
      <c r="C23" s="39" t="s">
        <v>50</v>
      </c>
      <c r="D23" s="40"/>
      <c r="E23" s="15"/>
      <c r="F23" s="41" t="s">
        <v>16</v>
      </c>
    </row>
    <row r="24" ht="39.75" customHeight="1">
      <c r="A24" s="42" t="s">
        <v>51</v>
      </c>
      <c r="B24" s="18" t="s">
        <v>52</v>
      </c>
      <c r="C24" s="19" t="s">
        <v>53</v>
      </c>
      <c r="D24" s="20"/>
      <c r="E24" s="15"/>
      <c r="F24" s="43"/>
    </row>
    <row r="25" ht="39.75" customHeight="1">
      <c r="A25" s="37" t="s">
        <v>54</v>
      </c>
      <c r="B25" s="38" t="s">
        <v>55</v>
      </c>
      <c r="C25" s="39" t="s">
        <v>56</v>
      </c>
      <c r="D25" s="40"/>
      <c r="E25" s="15"/>
      <c r="F25" s="43"/>
    </row>
    <row r="26" ht="39.75" customHeight="1">
      <c r="A26" s="42" t="s">
        <v>57</v>
      </c>
      <c r="B26" s="18" t="s">
        <v>58</v>
      </c>
      <c r="C26" s="19" t="s">
        <v>59</v>
      </c>
      <c r="D26" s="20"/>
      <c r="E26" s="15"/>
      <c r="F26" s="43"/>
    </row>
    <row r="27" ht="39.75" customHeight="1">
      <c r="A27" s="37" t="s">
        <v>60</v>
      </c>
      <c r="B27" s="38" t="s">
        <v>61</v>
      </c>
      <c r="C27" s="39" t="s">
        <v>62</v>
      </c>
      <c r="D27" s="40"/>
      <c r="E27" s="15"/>
      <c r="F27" s="43"/>
    </row>
    <row r="28" ht="19.5" customHeight="1">
      <c r="A28" s="44" t="s">
        <v>63</v>
      </c>
      <c r="B28" s="8"/>
      <c r="C28" s="8"/>
      <c r="D28" s="9"/>
      <c r="E28" s="45" t="str">
        <f>IFERROR(AVERAGE(E23:E27)*0.25,"")</f>
        <v/>
      </c>
      <c r="F28" s="46"/>
    </row>
    <row r="29" ht="21.75" customHeight="1">
      <c r="A29" s="47" t="s">
        <v>64</v>
      </c>
      <c r="B29" s="8"/>
      <c r="C29" s="8"/>
      <c r="D29" s="8"/>
      <c r="E29" s="8"/>
      <c r="F29" s="9"/>
    </row>
    <row r="30" ht="39.75" customHeight="1">
      <c r="A30" s="48" t="s">
        <v>65</v>
      </c>
      <c r="B30" s="49" t="s">
        <v>66</v>
      </c>
      <c r="C30" s="50" t="s">
        <v>67</v>
      </c>
      <c r="D30" s="51"/>
      <c r="E30" s="15"/>
      <c r="F30" s="52" t="s">
        <v>16</v>
      </c>
    </row>
    <row r="31" ht="39.75" customHeight="1">
      <c r="A31" s="53" t="s">
        <v>68</v>
      </c>
      <c r="B31" s="18" t="s">
        <v>69</v>
      </c>
      <c r="C31" s="19" t="s">
        <v>70</v>
      </c>
      <c r="D31" s="20"/>
      <c r="E31" s="15"/>
      <c r="F31" s="54"/>
    </row>
    <row r="32" ht="39.75" customHeight="1">
      <c r="A32" s="48" t="s">
        <v>71</v>
      </c>
      <c r="B32" s="49" t="s">
        <v>72</v>
      </c>
      <c r="C32" s="50" t="s">
        <v>73</v>
      </c>
      <c r="D32" s="51"/>
      <c r="E32" s="15"/>
      <c r="F32" s="54"/>
    </row>
    <row r="33" ht="39.75" customHeight="1">
      <c r="A33" s="53" t="s">
        <v>74</v>
      </c>
      <c r="B33" s="18" t="s">
        <v>75</v>
      </c>
      <c r="C33" s="19" t="s">
        <v>76</v>
      </c>
      <c r="D33" s="20"/>
      <c r="E33" s="15"/>
      <c r="F33" s="54"/>
    </row>
    <row r="34" ht="39.75" customHeight="1">
      <c r="A34" s="48" t="s">
        <v>77</v>
      </c>
      <c r="B34" s="49" t="s">
        <v>78</v>
      </c>
      <c r="C34" s="50" t="s">
        <v>79</v>
      </c>
      <c r="D34" s="51"/>
      <c r="E34" s="15"/>
      <c r="F34" s="54"/>
    </row>
    <row r="35" ht="19.5" customHeight="1">
      <c r="A35" s="55" t="s">
        <v>80</v>
      </c>
      <c r="B35" s="8"/>
      <c r="C35" s="8"/>
      <c r="D35" s="9"/>
      <c r="E35" s="56" t="str">
        <f>IFERROR(AVERAGE(E30:E34)*0.25,"")</f>
        <v/>
      </c>
      <c r="F35" s="57"/>
    </row>
    <row r="36" ht="15.75" customHeight="1"/>
    <row r="37" ht="27.75" customHeight="1">
      <c r="A37" s="58" t="s">
        <v>81</v>
      </c>
      <c r="B37" s="59"/>
      <c r="C37" s="59"/>
      <c r="D37" s="60"/>
      <c r="E37" s="61">
        <f>IFERROR(E14+E21+E28+E35,"")</f>
        <v>0</v>
      </c>
      <c r="F37" s="62"/>
    </row>
    <row r="38" ht="15.75" customHeight="1"/>
    <row r="39" ht="18.0" customHeight="1">
      <c r="A39" s="63" t="s">
        <v>82</v>
      </c>
      <c r="B39" s="2"/>
      <c r="C39" s="2"/>
      <c r="D39" s="2"/>
      <c r="E39" s="2"/>
      <c r="F39" s="3"/>
    </row>
    <row r="40" ht="19.5" customHeight="1">
      <c r="A40" s="64" t="s">
        <v>83</v>
      </c>
      <c r="B40" s="2"/>
      <c r="C40" s="2"/>
      <c r="D40" s="2"/>
      <c r="E40" s="2"/>
      <c r="F40" s="3"/>
    </row>
    <row r="41" ht="15.75" customHeight="1"/>
    <row r="42" ht="18.0" customHeight="1">
      <c r="A42" s="65" t="s">
        <v>84</v>
      </c>
      <c r="B42" s="2"/>
      <c r="C42" s="2"/>
      <c r="D42" s="2"/>
      <c r="E42" s="2"/>
      <c r="F42" s="3"/>
    </row>
    <row r="43" ht="18.0" customHeight="1">
      <c r="A43" s="66"/>
      <c r="B43" s="8"/>
      <c r="C43" s="8"/>
      <c r="D43" s="8"/>
      <c r="E43" s="8"/>
      <c r="F43" s="9"/>
    </row>
    <row r="44" ht="18.0" customHeight="1">
      <c r="A44" s="66"/>
      <c r="B44" s="8"/>
      <c r="C44" s="8"/>
      <c r="D44" s="8"/>
      <c r="E44" s="8"/>
      <c r="F44" s="9"/>
    </row>
    <row r="45" ht="18.0" customHeight="1">
      <c r="A45" s="66"/>
      <c r="B45" s="8"/>
      <c r="C45" s="8"/>
      <c r="D45" s="8"/>
      <c r="E45" s="8"/>
      <c r="F45" s="9"/>
    </row>
    <row r="46" ht="18.0" customHeight="1">
      <c r="A46" s="66"/>
      <c r="B46" s="8"/>
      <c r="C46" s="8"/>
      <c r="D46" s="8"/>
      <c r="E46" s="8"/>
      <c r="F46" s="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4:B4"/>
    <mergeCell ref="C4:D4"/>
    <mergeCell ref="E4:F4"/>
    <mergeCell ref="A7:F7"/>
    <mergeCell ref="A8:F8"/>
    <mergeCell ref="A37:D37"/>
    <mergeCell ref="A39:F39"/>
    <mergeCell ref="A40:F40"/>
    <mergeCell ref="A42:F42"/>
    <mergeCell ref="A43:F43"/>
    <mergeCell ref="A44:F44"/>
    <mergeCell ref="A45:F45"/>
    <mergeCell ref="A46:F46"/>
    <mergeCell ref="A14:D14"/>
    <mergeCell ref="A15:F15"/>
    <mergeCell ref="A21:D21"/>
    <mergeCell ref="A22:F22"/>
    <mergeCell ref="A28:D28"/>
    <mergeCell ref="A29:F29"/>
    <mergeCell ref="A35:D35"/>
  </mergeCells>
  <dataValidations>
    <dataValidation type="decimal" allowBlank="1" showInputMessage="1" showErrorMessage="1" prompt="Invalid Rating - Please enter a whole number between 1 and 5." sqref="E9:E13 E16:E20 E23:E27 E30:E34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71"/>
    <col customWidth="1" min="2" max="2" width="26.0"/>
    <col customWidth="1" min="3" max="3" width="18.0"/>
    <col customWidth="1" min="4" max="7" width="16.0"/>
    <col customWidth="1" min="8" max="8" width="20.0"/>
    <col customWidth="1" min="9" max="9" width="22.0"/>
    <col customWidth="1" min="10" max="26" width="8.71"/>
  </cols>
  <sheetData>
    <row r="1" ht="33.75" customHeight="1">
      <c r="A1" s="67" t="s">
        <v>85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68" t="s">
        <v>86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36.0" customHeight="1">
      <c r="A4" s="69" t="s">
        <v>5</v>
      </c>
      <c r="B4" s="69" t="s">
        <v>87</v>
      </c>
      <c r="C4" s="70" t="s">
        <v>88</v>
      </c>
      <c r="D4" s="71" t="s">
        <v>89</v>
      </c>
      <c r="E4" s="72" t="s">
        <v>90</v>
      </c>
      <c r="F4" s="73" t="s">
        <v>91</v>
      </c>
      <c r="G4" s="74" t="s">
        <v>92</v>
      </c>
      <c r="H4" s="74" t="s">
        <v>93</v>
      </c>
      <c r="I4" s="75" t="s">
        <v>94</v>
      </c>
    </row>
    <row r="5" ht="19.5" customHeight="1">
      <c r="A5" s="22" t="s">
        <v>12</v>
      </c>
      <c r="B5" s="8"/>
      <c r="C5" s="8"/>
      <c r="D5" s="8"/>
      <c r="E5" s="8"/>
      <c r="F5" s="8"/>
      <c r="G5" s="8"/>
      <c r="H5" s="8"/>
      <c r="I5" s="9"/>
    </row>
    <row r="6" ht="21.75" customHeight="1">
      <c r="A6" s="11" t="s">
        <v>13</v>
      </c>
      <c r="B6" s="13" t="s">
        <v>14</v>
      </c>
      <c r="C6" s="76" t="str">
        <f>Questionnaire!E9</f>
        <v/>
      </c>
      <c r="D6" s="77" t="s">
        <v>95</v>
      </c>
      <c r="E6" s="77" t="s">
        <v>95</v>
      </c>
      <c r="F6" s="77" t="s">
        <v>95</v>
      </c>
      <c r="G6" s="78" t="str">
        <f>Questionnaire!E9</f>
        <v/>
      </c>
      <c r="H6" s="79">
        <f>IFERROR(Questionnaire!E9*0.05,"")</f>
        <v>0</v>
      </c>
      <c r="I6" s="11" t="str">
        <f>IFERROR(IF(Questionnaire!E9="","",CHOOSE(MIN(5,MAX(1,Questionnaire!E9)),"Well Below","Below","Meets","Exceeds","Exceptional")),"–")</f>
        <v/>
      </c>
    </row>
    <row r="7" ht="21.75" customHeight="1">
      <c r="A7" s="17" t="s">
        <v>17</v>
      </c>
      <c r="B7" s="19" t="s">
        <v>18</v>
      </c>
      <c r="C7" s="76" t="str">
        <f>Questionnaire!E10</f>
        <v/>
      </c>
      <c r="D7" s="80" t="s">
        <v>95</v>
      </c>
      <c r="E7" s="80" t="s">
        <v>95</v>
      </c>
      <c r="F7" s="80" t="s">
        <v>95</v>
      </c>
      <c r="G7" s="78" t="str">
        <f>Questionnaire!E10</f>
        <v/>
      </c>
      <c r="H7" s="79">
        <f>IFERROR(Questionnaire!E10*0.05,"")</f>
        <v>0</v>
      </c>
      <c r="I7" s="17" t="str">
        <f>IFERROR(IF(Questionnaire!E10="","",CHOOSE(MIN(5,MAX(1,Questionnaire!E10)),"Well Below","Below","Meets","Exceeds","Exceptional")),"–")</f>
        <v/>
      </c>
    </row>
    <row r="8" ht="21.75" customHeight="1">
      <c r="A8" s="11" t="s">
        <v>20</v>
      </c>
      <c r="B8" s="13" t="s">
        <v>21</v>
      </c>
      <c r="C8" s="76" t="str">
        <f>Questionnaire!E11</f>
        <v/>
      </c>
      <c r="D8" s="77" t="s">
        <v>95</v>
      </c>
      <c r="E8" s="77" t="s">
        <v>95</v>
      </c>
      <c r="F8" s="77" t="s">
        <v>95</v>
      </c>
      <c r="G8" s="78" t="str">
        <f>Questionnaire!E11</f>
        <v/>
      </c>
      <c r="H8" s="79">
        <f>IFERROR(Questionnaire!E11*0.05,"")</f>
        <v>0</v>
      </c>
      <c r="I8" s="11" t="str">
        <f>IFERROR(IF(Questionnaire!E11="","",CHOOSE(MIN(5,MAX(1,Questionnaire!E11)),"Well Below","Below","Meets","Exceeds","Exceptional")),"–")</f>
        <v/>
      </c>
    </row>
    <row r="9" ht="21.75" customHeight="1">
      <c r="A9" s="17" t="s">
        <v>23</v>
      </c>
      <c r="B9" s="19" t="s">
        <v>24</v>
      </c>
      <c r="C9" s="76" t="str">
        <f>Questionnaire!E12</f>
        <v/>
      </c>
      <c r="D9" s="80" t="s">
        <v>95</v>
      </c>
      <c r="E9" s="80" t="s">
        <v>95</v>
      </c>
      <c r="F9" s="80" t="s">
        <v>95</v>
      </c>
      <c r="G9" s="78" t="str">
        <f>Questionnaire!E12</f>
        <v/>
      </c>
      <c r="H9" s="79">
        <f>IFERROR(Questionnaire!E12*0.05,"")</f>
        <v>0</v>
      </c>
      <c r="I9" s="17" t="str">
        <f>IFERROR(IF(Questionnaire!E12="","",CHOOSE(MIN(5,MAX(1,Questionnaire!E12)),"Well Below","Below","Meets","Exceeds","Exceptional")),"–")</f>
        <v/>
      </c>
    </row>
    <row r="10" ht="21.75" customHeight="1">
      <c r="A10" s="11" t="s">
        <v>26</v>
      </c>
      <c r="B10" s="13" t="s">
        <v>27</v>
      </c>
      <c r="C10" s="76" t="str">
        <f>Questionnaire!E13</f>
        <v/>
      </c>
      <c r="D10" s="77" t="s">
        <v>95</v>
      </c>
      <c r="E10" s="77" t="s">
        <v>95</v>
      </c>
      <c r="F10" s="77" t="s">
        <v>95</v>
      </c>
      <c r="G10" s="78" t="str">
        <f>Questionnaire!E13</f>
        <v/>
      </c>
      <c r="H10" s="79">
        <f>IFERROR(Questionnaire!E13*0.05,"")</f>
        <v>0</v>
      </c>
      <c r="I10" s="11" t="str">
        <f>IFERROR(IF(Questionnaire!E13="","",CHOOSE(MIN(5,MAX(1,Questionnaire!E13)),"Well Below","Below","Meets","Exceeds","Exceptional")),"–")</f>
        <v/>
      </c>
    </row>
    <row r="11" ht="19.5" customHeight="1">
      <c r="A11" s="81" t="s">
        <v>96</v>
      </c>
      <c r="B11" s="82"/>
      <c r="C11" s="23" t="str">
        <f>IFERROR(AVERAGE(C6:C10),"")</f>
        <v/>
      </c>
      <c r="D11" s="83"/>
      <c r="E11" s="83"/>
      <c r="F11" s="83"/>
      <c r="G11" s="23" t="str">
        <f>IFERROR(AVERAGE(C6:C10),"")</f>
        <v/>
      </c>
      <c r="H11" s="23">
        <f>IFERROR(C11*0.25,"")</f>
        <v>0</v>
      </c>
      <c r="I11" s="83"/>
    </row>
    <row r="12" ht="19.5" customHeight="1">
      <c r="A12" s="33" t="s">
        <v>30</v>
      </c>
      <c r="B12" s="8"/>
      <c r="C12" s="8"/>
      <c r="D12" s="8"/>
      <c r="E12" s="8"/>
      <c r="F12" s="8"/>
      <c r="G12" s="8"/>
      <c r="H12" s="8"/>
      <c r="I12" s="9"/>
    </row>
    <row r="13" ht="21.75" customHeight="1">
      <c r="A13" s="26" t="s">
        <v>31</v>
      </c>
      <c r="B13" s="28" t="s">
        <v>32</v>
      </c>
      <c r="C13" s="84" t="s">
        <v>95</v>
      </c>
      <c r="D13" s="76" t="str">
        <f>Questionnaire!E16</f>
        <v/>
      </c>
      <c r="E13" s="84" t="s">
        <v>95</v>
      </c>
      <c r="F13" s="84" t="s">
        <v>95</v>
      </c>
      <c r="G13" s="78" t="str">
        <f>Questionnaire!E16</f>
        <v/>
      </c>
      <c r="H13" s="79">
        <f>IFERROR(Questionnaire!E16*0.05,"")</f>
        <v>0</v>
      </c>
      <c r="I13" s="26" t="str">
        <f>IFERROR(IF(Questionnaire!E16="","",CHOOSE(MIN(5,MAX(1,Questionnaire!E16)),"Well Below","Below","Meets","Exceeds","Exceptional")),"–")</f>
        <v/>
      </c>
    </row>
    <row r="14" ht="21.75" customHeight="1">
      <c r="A14" s="31" t="s">
        <v>34</v>
      </c>
      <c r="B14" s="19" t="s">
        <v>35</v>
      </c>
      <c r="C14" s="80" t="s">
        <v>95</v>
      </c>
      <c r="D14" s="76" t="str">
        <f>Questionnaire!E17</f>
        <v/>
      </c>
      <c r="E14" s="80" t="s">
        <v>95</v>
      </c>
      <c r="F14" s="80" t="s">
        <v>95</v>
      </c>
      <c r="G14" s="78" t="str">
        <f>Questionnaire!E17</f>
        <v/>
      </c>
      <c r="H14" s="79">
        <f>IFERROR(Questionnaire!E17*0.05,"")</f>
        <v>0</v>
      </c>
      <c r="I14" s="31" t="str">
        <f>IFERROR(IF(Questionnaire!E17="","",CHOOSE(MIN(5,MAX(1,Questionnaire!E17)),"Well Below","Below","Meets","Exceeds","Exceptional")),"–")</f>
        <v/>
      </c>
    </row>
    <row r="15" ht="21.75" customHeight="1">
      <c r="A15" s="26" t="s">
        <v>37</v>
      </c>
      <c r="B15" s="28" t="s">
        <v>38</v>
      </c>
      <c r="C15" s="84" t="s">
        <v>95</v>
      </c>
      <c r="D15" s="76" t="str">
        <f>Questionnaire!E18</f>
        <v/>
      </c>
      <c r="E15" s="84" t="s">
        <v>95</v>
      </c>
      <c r="F15" s="84" t="s">
        <v>95</v>
      </c>
      <c r="G15" s="78" t="str">
        <f>Questionnaire!E18</f>
        <v/>
      </c>
      <c r="H15" s="79">
        <f>IFERROR(Questionnaire!E18*0.05,"")</f>
        <v>0</v>
      </c>
      <c r="I15" s="26" t="str">
        <f>IFERROR(IF(Questionnaire!E18="","",CHOOSE(MIN(5,MAX(1,Questionnaire!E18)),"Well Below","Below","Meets","Exceeds","Exceptional")),"–")</f>
        <v/>
      </c>
    </row>
    <row r="16" ht="21.75" customHeight="1">
      <c r="A16" s="31" t="s">
        <v>40</v>
      </c>
      <c r="B16" s="19" t="s">
        <v>41</v>
      </c>
      <c r="C16" s="80" t="s">
        <v>95</v>
      </c>
      <c r="D16" s="76" t="str">
        <f>Questionnaire!E19</f>
        <v/>
      </c>
      <c r="E16" s="80" t="s">
        <v>95</v>
      </c>
      <c r="F16" s="80" t="s">
        <v>95</v>
      </c>
      <c r="G16" s="78" t="str">
        <f>Questionnaire!E19</f>
        <v/>
      </c>
      <c r="H16" s="79">
        <f>IFERROR(Questionnaire!E19*0.05,"")</f>
        <v>0</v>
      </c>
      <c r="I16" s="31" t="str">
        <f>IFERROR(IF(Questionnaire!E19="","",CHOOSE(MIN(5,MAX(1,Questionnaire!E19)),"Well Below","Below","Meets","Exceeds","Exceptional")),"–")</f>
        <v/>
      </c>
    </row>
    <row r="17" ht="21.75" customHeight="1">
      <c r="A17" s="26" t="s">
        <v>43</v>
      </c>
      <c r="B17" s="28" t="s">
        <v>44</v>
      </c>
      <c r="C17" s="84" t="s">
        <v>95</v>
      </c>
      <c r="D17" s="76" t="str">
        <f>Questionnaire!E20</f>
        <v/>
      </c>
      <c r="E17" s="84" t="s">
        <v>95</v>
      </c>
      <c r="F17" s="84" t="s">
        <v>95</v>
      </c>
      <c r="G17" s="78" t="str">
        <f>Questionnaire!E20</f>
        <v/>
      </c>
      <c r="H17" s="79">
        <f>IFERROR(Questionnaire!E20*0.05,"")</f>
        <v>0</v>
      </c>
      <c r="I17" s="26" t="str">
        <f>IFERROR(IF(Questionnaire!E20="","",CHOOSE(MIN(5,MAX(1,Questionnaire!E20)),"Well Below","Below","Meets","Exceeds","Exceptional")),"–")</f>
        <v/>
      </c>
    </row>
    <row r="18" ht="19.5" customHeight="1">
      <c r="A18" s="85" t="s">
        <v>97</v>
      </c>
      <c r="B18" s="82"/>
      <c r="C18" s="86"/>
      <c r="D18" s="34" t="str">
        <f>IFERROR(AVERAGE(D13:D17),"")</f>
        <v/>
      </c>
      <c r="E18" s="86"/>
      <c r="F18" s="86"/>
      <c r="G18" s="34" t="str">
        <f>IFERROR(AVERAGE(D13:D17),"")</f>
        <v/>
      </c>
      <c r="H18" s="34">
        <f>IFERROR(D18*0.25,"")</f>
        <v>0</v>
      </c>
      <c r="I18" s="86"/>
    </row>
    <row r="19" ht="19.5" customHeight="1">
      <c r="A19" s="44" t="s">
        <v>47</v>
      </c>
      <c r="B19" s="8"/>
      <c r="C19" s="8"/>
      <c r="D19" s="8"/>
      <c r="E19" s="8"/>
      <c r="F19" s="8"/>
      <c r="G19" s="8"/>
      <c r="H19" s="8"/>
      <c r="I19" s="9"/>
    </row>
    <row r="20" ht="21.75" customHeight="1">
      <c r="A20" s="37" t="s">
        <v>48</v>
      </c>
      <c r="B20" s="39" t="s">
        <v>49</v>
      </c>
      <c r="C20" s="87" t="s">
        <v>95</v>
      </c>
      <c r="D20" s="87" t="s">
        <v>95</v>
      </c>
      <c r="E20" s="76" t="str">
        <f>Questionnaire!E23</f>
        <v/>
      </c>
      <c r="F20" s="87" t="s">
        <v>95</v>
      </c>
      <c r="G20" s="78" t="str">
        <f>Questionnaire!E23</f>
        <v/>
      </c>
      <c r="H20" s="79">
        <f>IFERROR(Questionnaire!E23*0.05,"")</f>
        <v>0</v>
      </c>
      <c r="I20" s="37" t="str">
        <f>IFERROR(IF(Questionnaire!E23="","",CHOOSE(MIN(5,MAX(1,Questionnaire!E23)),"Well Below","Below","Meets","Exceeds","Exceptional")),"–")</f>
        <v/>
      </c>
    </row>
    <row r="21" ht="21.75" customHeight="1">
      <c r="A21" s="42" t="s">
        <v>51</v>
      </c>
      <c r="B21" s="19" t="s">
        <v>52</v>
      </c>
      <c r="C21" s="80" t="s">
        <v>95</v>
      </c>
      <c r="D21" s="80" t="s">
        <v>95</v>
      </c>
      <c r="E21" s="76" t="str">
        <f>Questionnaire!E24</f>
        <v/>
      </c>
      <c r="F21" s="80" t="s">
        <v>95</v>
      </c>
      <c r="G21" s="78" t="str">
        <f>Questionnaire!E24</f>
        <v/>
      </c>
      <c r="H21" s="79">
        <f>IFERROR(Questionnaire!E24*0.05,"")</f>
        <v>0</v>
      </c>
      <c r="I21" s="42" t="str">
        <f>IFERROR(IF(Questionnaire!E24="","",CHOOSE(MIN(5,MAX(1,Questionnaire!E24)),"Well Below","Below","Meets","Exceeds","Exceptional")),"–")</f>
        <v/>
      </c>
    </row>
    <row r="22" ht="21.75" customHeight="1">
      <c r="A22" s="37" t="s">
        <v>54</v>
      </c>
      <c r="B22" s="39" t="s">
        <v>55</v>
      </c>
      <c r="C22" s="87" t="s">
        <v>95</v>
      </c>
      <c r="D22" s="87" t="s">
        <v>95</v>
      </c>
      <c r="E22" s="76" t="str">
        <f>Questionnaire!E25</f>
        <v/>
      </c>
      <c r="F22" s="87" t="s">
        <v>95</v>
      </c>
      <c r="G22" s="78" t="str">
        <f>Questionnaire!E25</f>
        <v/>
      </c>
      <c r="H22" s="79">
        <f>IFERROR(Questionnaire!E25*0.05,"")</f>
        <v>0</v>
      </c>
      <c r="I22" s="37" t="str">
        <f>IFERROR(IF(Questionnaire!E25="","",CHOOSE(MIN(5,MAX(1,Questionnaire!E25)),"Well Below","Below","Meets","Exceeds","Exceptional")),"–")</f>
        <v/>
      </c>
    </row>
    <row r="23" ht="21.75" customHeight="1">
      <c r="A23" s="42" t="s">
        <v>57</v>
      </c>
      <c r="B23" s="19" t="s">
        <v>58</v>
      </c>
      <c r="C23" s="80" t="s">
        <v>95</v>
      </c>
      <c r="D23" s="80" t="s">
        <v>95</v>
      </c>
      <c r="E23" s="76" t="str">
        <f>Questionnaire!E26</f>
        <v/>
      </c>
      <c r="F23" s="80" t="s">
        <v>95</v>
      </c>
      <c r="G23" s="78" t="str">
        <f>Questionnaire!E26</f>
        <v/>
      </c>
      <c r="H23" s="79">
        <f>IFERROR(Questionnaire!E26*0.05,"")</f>
        <v>0</v>
      </c>
      <c r="I23" s="42" t="str">
        <f>IFERROR(IF(Questionnaire!E26="","",CHOOSE(MIN(5,MAX(1,Questionnaire!E26)),"Well Below","Below","Meets","Exceeds","Exceptional")),"–")</f>
        <v/>
      </c>
    </row>
    <row r="24" ht="21.75" customHeight="1">
      <c r="A24" s="37" t="s">
        <v>60</v>
      </c>
      <c r="B24" s="39" t="s">
        <v>61</v>
      </c>
      <c r="C24" s="87" t="s">
        <v>95</v>
      </c>
      <c r="D24" s="87" t="s">
        <v>95</v>
      </c>
      <c r="E24" s="76" t="str">
        <f>Questionnaire!E27</f>
        <v/>
      </c>
      <c r="F24" s="87" t="s">
        <v>95</v>
      </c>
      <c r="G24" s="78" t="str">
        <f>Questionnaire!E27</f>
        <v/>
      </c>
      <c r="H24" s="79">
        <f>IFERROR(Questionnaire!E27*0.05,"")</f>
        <v>0</v>
      </c>
      <c r="I24" s="37" t="str">
        <f>IFERROR(IF(Questionnaire!E27="","",CHOOSE(MIN(5,MAX(1,Questionnaire!E27)),"Well Below","Below","Meets","Exceeds","Exceptional")),"–")</f>
        <v/>
      </c>
    </row>
    <row r="25" ht="19.5" customHeight="1">
      <c r="A25" s="88" t="s">
        <v>98</v>
      </c>
      <c r="B25" s="82"/>
      <c r="C25" s="89"/>
      <c r="D25" s="89"/>
      <c r="E25" s="45" t="str">
        <f>IFERROR(AVERAGE(E20:E24),"")</f>
        <v/>
      </c>
      <c r="F25" s="89"/>
      <c r="G25" s="45" t="str">
        <f>IFERROR(AVERAGE(E20:E24),"")</f>
        <v/>
      </c>
      <c r="H25" s="45">
        <f>IFERROR(E25*0.25,"")</f>
        <v>0</v>
      </c>
      <c r="I25" s="89"/>
    </row>
    <row r="26" ht="19.5" customHeight="1">
      <c r="A26" s="55" t="s">
        <v>64</v>
      </c>
      <c r="B26" s="8"/>
      <c r="C26" s="8"/>
      <c r="D26" s="8"/>
      <c r="E26" s="8"/>
      <c r="F26" s="8"/>
      <c r="G26" s="8"/>
      <c r="H26" s="8"/>
      <c r="I26" s="9"/>
    </row>
    <row r="27" ht="21.75" customHeight="1">
      <c r="A27" s="48" t="s">
        <v>65</v>
      </c>
      <c r="B27" s="50" t="s">
        <v>66</v>
      </c>
      <c r="C27" s="90" t="s">
        <v>95</v>
      </c>
      <c r="D27" s="90" t="s">
        <v>95</v>
      </c>
      <c r="E27" s="90" t="s">
        <v>95</v>
      </c>
      <c r="F27" s="76" t="str">
        <f>Questionnaire!E30</f>
        <v/>
      </c>
      <c r="G27" s="78" t="str">
        <f>Questionnaire!E30</f>
        <v/>
      </c>
      <c r="H27" s="79">
        <f>IFERROR(Questionnaire!E30*0.05,"")</f>
        <v>0</v>
      </c>
      <c r="I27" s="48" t="str">
        <f>IFERROR(IF(Questionnaire!E30="","",CHOOSE(MIN(5,MAX(1,Questionnaire!E30)),"Well Below","Below","Meets","Exceeds","Exceptional")),"–")</f>
        <v/>
      </c>
    </row>
    <row r="28" ht="21.75" customHeight="1">
      <c r="A28" s="53" t="s">
        <v>68</v>
      </c>
      <c r="B28" s="19" t="s">
        <v>69</v>
      </c>
      <c r="C28" s="80" t="s">
        <v>95</v>
      </c>
      <c r="D28" s="80" t="s">
        <v>95</v>
      </c>
      <c r="E28" s="80" t="s">
        <v>95</v>
      </c>
      <c r="F28" s="76" t="str">
        <f>Questionnaire!E31</f>
        <v/>
      </c>
      <c r="G28" s="78" t="str">
        <f>Questionnaire!E31</f>
        <v/>
      </c>
      <c r="H28" s="79">
        <f>IFERROR(Questionnaire!E31*0.05,"")</f>
        <v>0</v>
      </c>
      <c r="I28" s="53" t="str">
        <f>IFERROR(IF(Questionnaire!E31="","",CHOOSE(MIN(5,MAX(1,Questionnaire!E31)),"Well Below","Below","Meets","Exceeds","Exceptional")),"–")</f>
        <v/>
      </c>
    </row>
    <row r="29" ht="21.75" customHeight="1">
      <c r="A29" s="48" t="s">
        <v>71</v>
      </c>
      <c r="B29" s="50" t="s">
        <v>72</v>
      </c>
      <c r="C29" s="90" t="s">
        <v>95</v>
      </c>
      <c r="D29" s="90" t="s">
        <v>95</v>
      </c>
      <c r="E29" s="90" t="s">
        <v>95</v>
      </c>
      <c r="F29" s="76" t="str">
        <f>Questionnaire!E32</f>
        <v/>
      </c>
      <c r="G29" s="78" t="str">
        <f>Questionnaire!E32</f>
        <v/>
      </c>
      <c r="H29" s="79">
        <f>IFERROR(Questionnaire!E32*0.05,"")</f>
        <v>0</v>
      </c>
      <c r="I29" s="48" t="str">
        <f>IFERROR(IF(Questionnaire!E32="","",CHOOSE(MIN(5,MAX(1,Questionnaire!E32)),"Well Below","Below","Meets","Exceeds","Exceptional")),"–")</f>
        <v/>
      </c>
    </row>
    <row r="30" ht="21.75" customHeight="1">
      <c r="A30" s="53" t="s">
        <v>74</v>
      </c>
      <c r="B30" s="19" t="s">
        <v>75</v>
      </c>
      <c r="C30" s="80" t="s">
        <v>95</v>
      </c>
      <c r="D30" s="80" t="s">
        <v>95</v>
      </c>
      <c r="E30" s="80" t="s">
        <v>95</v>
      </c>
      <c r="F30" s="76" t="str">
        <f>Questionnaire!E33</f>
        <v/>
      </c>
      <c r="G30" s="78" t="str">
        <f>Questionnaire!E33</f>
        <v/>
      </c>
      <c r="H30" s="79">
        <f>IFERROR(Questionnaire!E33*0.05,"")</f>
        <v>0</v>
      </c>
      <c r="I30" s="53" t="str">
        <f>IFERROR(IF(Questionnaire!E33="","",CHOOSE(MIN(5,MAX(1,Questionnaire!E33)),"Well Below","Below","Meets","Exceeds","Exceptional")),"–")</f>
        <v/>
      </c>
    </row>
    <row r="31" ht="21.75" customHeight="1">
      <c r="A31" s="48" t="s">
        <v>77</v>
      </c>
      <c r="B31" s="50" t="s">
        <v>78</v>
      </c>
      <c r="C31" s="90" t="s">
        <v>95</v>
      </c>
      <c r="D31" s="90" t="s">
        <v>95</v>
      </c>
      <c r="E31" s="90" t="s">
        <v>95</v>
      </c>
      <c r="F31" s="76" t="str">
        <f>Questionnaire!E34</f>
        <v/>
      </c>
      <c r="G31" s="78" t="str">
        <f>Questionnaire!E34</f>
        <v/>
      </c>
      <c r="H31" s="79">
        <f>IFERROR(Questionnaire!E34*0.05,"")</f>
        <v>0</v>
      </c>
      <c r="I31" s="48" t="str">
        <f>IFERROR(IF(Questionnaire!E34="","",CHOOSE(MIN(5,MAX(1,Questionnaire!E34)),"Well Below","Below","Meets","Exceeds","Exceptional")),"–")</f>
        <v/>
      </c>
    </row>
    <row r="32" ht="19.5" customHeight="1">
      <c r="A32" s="91" t="s">
        <v>99</v>
      </c>
      <c r="B32" s="82"/>
      <c r="C32" s="92"/>
      <c r="D32" s="92"/>
      <c r="E32" s="92"/>
      <c r="F32" s="56" t="str">
        <f>IFERROR(AVERAGE(F27:F31),"")</f>
        <v/>
      </c>
      <c r="G32" s="56" t="str">
        <f>IFERROR(AVERAGE(F27:F31),"")</f>
        <v/>
      </c>
      <c r="H32" s="56">
        <f>IFERROR(F32*0.25,"")</f>
        <v>0</v>
      </c>
      <c r="I32" s="92"/>
    </row>
    <row r="33" ht="15.75" customHeight="1"/>
    <row r="34" ht="30.0" customHeight="1">
      <c r="A34" s="93" t="s">
        <v>100</v>
      </c>
      <c r="B34" s="59"/>
      <c r="C34" s="59"/>
      <c r="D34" s="59"/>
      <c r="E34" s="59"/>
      <c r="F34" s="94"/>
      <c r="G34" s="61" t="str">
        <f>Questionnaire!E36</f>
        <v/>
      </c>
      <c r="H34" s="61" t="str">
        <f>Questionnaire!E36</f>
        <v/>
      </c>
      <c r="I34" s="95" t="str">
        <f>IFERROR(IF(G34="","",IF(G34&gt;=4.5,"★ Exceptional",IF(G34&gt;=3.5,"✔ Exceeds",IF(G34&gt;=2.5,"✔ Meets",IF(G34&gt;=1.5,"▲ Below","✘ Well Below"))))),"–")</f>
        <v/>
      </c>
    </row>
    <row r="35" ht="15.75" customHeight="1"/>
    <row r="36" ht="21.75" customHeight="1">
      <c r="A36" s="96" t="s">
        <v>101</v>
      </c>
      <c r="B36" s="2"/>
      <c r="C36" s="2"/>
      <c r="D36" s="2"/>
      <c r="E36" s="2"/>
      <c r="F36" s="2"/>
      <c r="G36" s="2"/>
      <c r="H36" s="2"/>
      <c r="I36" s="3"/>
    </row>
    <row r="37" ht="15.75" customHeight="1">
      <c r="A37" s="71" t="s">
        <v>102</v>
      </c>
      <c r="B37" s="97" t="s">
        <v>103</v>
      </c>
      <c r="C37" s="82"/>
      <c r="D37" s="98" t="s">
        <v>104</v>
      </c>
      <c r="E37" s="8"/>
      <c r="F37" s="8"/>
      <c r="G37" s="8"/>
      <c r="H37" s="8"/>
      <c r="I37" s="82"/>
    </row>
    <row r="38" ht="18.0" customHeight="1">
      <c r="A38" s="99" t="s">
        <v>105</v>
      </c>
      <c r="B38" s="100" t="s">
        <v>106</v>
      </c>
      <c r="C38" s="82"/>
      <c r="D38" s="98" t="s">
        <v>107</v>
      </c>
      <c r="E38" s="8"/>
      <c r="F38" s="8"/>
      <c r="G38" s="8"/>
      <c r="H38" s="8"/>
      <c r="I38" s="82"/>
    </row>
    <row r="39" ht="18.0" customHeight="1">
      <c r="A39" s="101" t="s">
        <v>108</v>
      </c>
      <c r="B39" s="102" t="s">
        <v>109</v>
      </c>
      <c r="C39" s="82"/>
      <c r="D39" s="98" t="s">
        <v>110</v>
      </c>
      <c r="E39" s="8"/>
      <c r="F39" s="8"/>
      <c r="G39" s="8"/>
      <c r="H39" s="8"/>
      <c r="I39" s="82"/>
    </row>
    <row r="40" ht="18.0" customHeight="1">
      <c r="A40" s="103" t="s">
        <v>111</v>
      </c>
      <c r="B40" s="104" t="s">
        <v>112</v>
      </c>
      <c r="C40" s="82"/>
      <c r="D40" s="98" t="s">
        <v>113</v>
      </c>
      <c r="E40" s="8"/>
      <c r="F40" s="8"/>
      <c r="G40" s="8"/>
      <c r="H40" s="8"/>
      <c r="I40" s="82"/>
    </row>
    <row r="41" ht="18.0" customHeight="1">
      <c r="A41" s="105" t="s">
        <v>114</v>
      </c>
      <c r="B41" s="106" t="s">
        <v>115</v>
      </c>
      <c r="C41" s="82"/>
      <c r="D41" s="98" t="s">
        <v>116</v>
      </c>
      <c r="E41" s="8"/>
      <c r="F41" s="8"/>
      <c r="G41" s="8"/>
      <c r="H41" s="8"/>
      <c r="I41" s="82"/>
    </row>
    <row r="42" ht="15.75" customHeight="1"/>
    <row r="43" ht="27.75" customHeight="1">
      <c r="A43" s="107" t="s">
        <v>117</v>
      </c>
      <c r="B43" s="2"/>
      <c r="C43" s="2"/>
      <c r="D43" s="2"/>
      <c r="E43" s="2"/>
      <c r="F43" s="2"/>
      <c r="G43" s="2"/>
      <c r="H43" s="2"/>
      <c r="I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I1"/>
    <mergeCell ref="A2:I2"/>
    <mergeCell ref="A5:I5"/>
    <mergeCell ref="A11:B11"/>
    <mergeCell ref="A12:I12"/>
    <mergeCell ref="A18:B18"/>
    <mergeCell ref="A19:I19"/>
    <mergeCell ref="A25:B25"/>
    <mergeCell ref="A26:I26"/>
    <mergeCell ref="A32:B32"/>
    <mergeCell ref="A34:F34"/>
    <mergeCell ref="A36:I36"/>
    <mergeCell ref="B37:C37"/>
    <mergeCell ref="D37:I37"/>
    <mergeCell ref="D41:I41"/>
    <mergeCell ref="A43:I43"/>
    <mergeCell ref="B38:C38"/>
    <mergeCell ref="D38:I38"/>
    <mergeCell ref="B39:C39"/>
    <mergeCell ref="D39:I39"/>
    <mergeCell ref="B40:C40"/>
    <mergeCell ref="D40:I40"/>
    <mergeCell ref="B41:C41"/>
  </mergeCells>
  <printOptions/>
  <pageMargins bottom="1.0" footer="0.0" header="0.0" left="0.75" right="0.75" top="1.0"/>
  <pageSetup paperSize="9" orientation="portrait"/>
  <drawing r:id="rId1"/>
</worksheet>
</file>