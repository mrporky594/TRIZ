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NGAPORE\Downloads\"/>
    </mc:Choice>
  </mc:AlternateContent>
  <xr:revisionPtr revIDLastSave="0" documentId="11_04936496B81E356A71BE08C25BEC8AB1D121449F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How to Use" sheetId="1" r:id="rId1"/>
    <sheet name="TRIZ Navigator" sheetId="2" r:id="rId2"/>
    <sheet name="Altshuller Matrix" sheetId="3" r:id="rId3"/>
    <sheet name="Separation Principles" sheetId="4" r:id="rId4"/>
    <sheet name="TC Matrix" sheetId="5" r:id="rId5"/>
    <sheet name="Principle Scoring" sheetId="6" r:id="rId6"/>
    <sheet name="Case Study Library" sheetId="7" r:id="rId7"/>
    <sheet name="Problem History Log" sheetId="8" r:id="rId8"/>
    <sheet name="Appendix" sheetId="9" r:id="rId9"/>
  </sheets>
  <definedNames>
    <definedName name="_xlnm.Print_Area" localSheetId="1">'TRIZ Navigator'!$A$1:$F$68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2" i="8" l="1"/>
  <c r="F31" i="8"/>
  <c r="F30" i="8"/>
  <c r="F29" i="8"/>
  <c r="F28" i="8"/>
  <c r="F27" i="8"/>
  <c r="H15" i="6"/>
  <c r="C15" i="6"/>
  <c r="H14" i="6"/>
  <c r="C14" i="6"/>
  <c r="H13" i="6"/>
  <c r="C13" i="6"/>
  <c r="H12" i="6"/>
  <c r="C12" i="6"/>
  <c r="H11" i="6"/>
  <c r="C11" i="6"/>
  <c r="H10" i="6"/>
  <c r="C10" i="6"/>
  <c r="H9" i="6"/>
  <c r="C9" i="6"/>
  <c r="H8" i="6"/>
  <c r="C8" i="6"/>
  <c r="H7" i="6"/>
  <c r="C21" i="6" s="1"/>
  <c r="C7" i="6"/>
  <c r="H6" i="6"/>
  <c r="C6" i="6"/>
  <c r="H5" i="6"/>
  <c r="C5" i="6"/>
  <c r="H4" i="6"/>
  <c r="G21" i="6" s="1"/>
  <c r="C4" i="6"/>
  <c r="E38" i="2"/>
  <c r="E37" i="2"/>
  <c r="E36" i="2"/>
  <c r="E35" i="2"/>
  <c r="E34" i="2"/>
  <c r="E33" i="2"/>
  <c r="E32" i="2"/>
  <c r="E31" i="2"/>
</calcChain>
</file>

<file path=xl/sharedStrings.xml><?xml version="1.0" encoding="utf-8"?>
<sst xmlns="http://schemas.openxmlformats.org/spreadsheetml/2006/main" count="1954" uniqueCount="1356">
  <si>
    <t>How to Use This TRIZ Navigator</t>
  </si>
  <si>
    <t>TRIZ Navigator tab</t>
  </si>
  <si>
    <t>Start here every time you have a new problem. Work top to bottom through the 7 steps.</t>
  </si>
  <si>
    <t>Step 1 — Problem</t>
  </si>
  <si>
    <t>Name the system and describe the problem concisely. Write the Ideal Final Result (IFR) — what would the system do if it solved itself?</t>
  </si>
  <si>
    <t>Step 2 — Contradiction map</t>
  </si>
  <si>
    <t>Fill the three cells: what gets better, the bad partial solution, what gets worse. Then choose Technical or Physical contradiction from the dropdown.</t>
  </si>
  <si>
    <t>Step 3A — Technical contradiction</t>
  </si>
  <si>
    <t>Name the improving and worsening engineering parameters. Then check the TC Matrix tab for principle recommendations, or enter your own principle numbers in Step 4.</t>
  </si>
  <si>
    <t>Step 3B — Physical contradiction</t>
  </si>
  <si>
    <t>State the parameter and its two required opposite states. Choose a separation strategy from the dropdown. Then see the Separation Principles tab for the principle list.</t>
  </si>
  <si>
    <t>Step 4 — Principles</t>
  </si>
  <si>
    <t>Enter principle numbers in column B. Column C auto-looks up the name; column E auto-looks up the definition from the Appendix. Add your own 'why it applies' note in column D.</t>
  </si>
  <si>
    <t>Step 5 — Solutions map</t>
  </si>
  <si>
    <t>Fill the 9-box grid thinking across Past/Present/Future and Sub-system/System/Super-system. Each cell holds one idea or observation — no need to fill all 9.</t>
  </si>
  <si>
    <t>Step 6 — Innovation level</t>
  </si>
  <si>
    <t>Select the innovation level your solution is targeting. Level 1–2 uses internal/industry knowledge; Level 3–5 requires cross-industry or new science.</t>
  </si>
  <si>
    <t>Step 7 — Actions</t>
  </si>
  <si>
    <t>Document next actions, owner, date, and status. Use the Status dropdown to track progress.</t>
  </si>
  <si>
    <t>TC Matrix tab</t>
  </si>
  <si>
    <t>Quick reference for 15 common parameter conflict pairs and their recommended principles. Use as a starting point, not an exhaustive lookup.</t>
  </si>
  <si>
    <t>Separation Principles tab</t>
  </si>
  <si>
    <t>Full list of inventive principles grouped under each of the 4 separation strategies. Select the strategy matching your Step 3B dropdown choice.</t>
  </si>
  <si>
    <t>Appendix tab</t>
  </si>
  <si>
    <t>All 40 TRIZ inventive principles with full definition, an engineering example, and an everyday cross-industry example. Auto-linked from Step 4 via VLOOKUP.</t>
  </si>
  <si>
    <t>Repeating the tool</t>
  </si>
  <si>
    <t>To start a new problem: copy the TRIZ Navigator sheet (right-click tab → Move or Copy → tick 'Create a copy'). The copy starts blank and fully functional.</t>
  </si>
  <si>
    <t>New in v2 — four enhancements added</t>
  </si>
  <si>
    <t>Altshuller Matrix</t>
  </si>
  <si>
    <t>The full 39×39 matrix. Row = parameter to improve (green); Column = parameter that worsens (red). Teal cell = principle numbers recommended. Grey = no standard mapping, use physical contradiction path. Freeze pane lets you scroll while keeping headers visible.</t>
  </si>
  <si>
    <t>Principle Scoring</t>
  </si>
  <si>
    <t>Enter shortlisted principle numbers in column B — names auto-fill. Score Feasibility, Impact, Speed, and Cost (1–5 each). Priority Score is auto-weighted (max 20). Best-scoring principle shown at the bottom. Add rationale notes in column I.</t>
  </si>
  <si>
    <t>Case Study Library</t>
  </si>
  <si>
    <t>12 real-world TRIZ examples across semiconductor, aerospace, automotive, medical devices, software, and more. Study the contradiction type and principles used, then draw analogies to your own problem.</t>
  </si>
  <si>
    <t>Problem History Log</t>
  </si>
  <si>
    <t>Log every TRIZ session: system, problem, contradiction path, principles, innovation level, solution, and status. Row 4 is pre-filled with the HBM stack session as an example. Session statistics at the bottom auto-update as you add rows.</t>
  </si>
  <si>
    <t>TRIZ Creative Problem Solving Navigator</t>
  </si>
  <si>
    <t>STEP 1 — Define Your Problem</t>
  </si>
  <si>
    <t>System / Product name</t>
  </si>
  <si>
    <t>Problem description</t>
  </si>
  <si>
    <t>Ideal Final Result (IFR)</t>
  </si>
  <si>
    <t>STEP 2 — Map Your Contradiction</t>
  </si>
  <si>
    <t>What gets BETTER</t>
  </si>
  <si>
    <t>Bad solution / tradeoff</t>
  </si>
  <si>
    <t>What gets WORSE</t>
  </si>
  <si>
    <t>Contradiction type</t>
  </si>
  <si>
    <t>Technical Contradiction</t>
  </si>
  <si>
    <t>STEP 3A — Technical Contradiction  (use when two parameters conflict)</t>
  </si>
  <si>
    <t>Parameter to IMPROVE</t>
  </si>
  <si>
    <t>Parameter that WORSENS</t>
  </si>
  <si>
    <t>Engineering domain / context</t>
  </si>
  <si>
    <t>→ Suggested Principles</t>
  </si>
  <si>
    <t>Select parameters above, then see 'TC Matrix' sheet for exact principle numbers from the Altshuller matrix.</t>
  </si>
  <si>
    <t>STEP 3B — Physical Contradiction  (use when one parameter must be opposite states)</t>
  </si>
  <si>
    <t>The parameter / property</t>
  </si>
  <si>
    <t>Must be (State A)</t>
  </si>
  <si>
    <t>AND also be (State B)</t>
  </si>
  <si>
    <t>Separation strategy</t>
  </si>
  <si>
    <t>Separate in Time</t>
  </si>
  <si>
    <t>STEP 4 — Distilled TRIZ Inventive Principles</t>
  </si>
  <si>
    <t>Principle #</t>
  </si>
  <si>
    <t>Principle name</t>
  </si>
  <si>
    <t>Why it applies to your problem</t>
  </si>
  <si>
    <t>See Appendix tab for full definition &amp; examples</t>
  </si>
  <si>
    <t>💡  Tip: Fill in principle numbers in column B above, then columns C–E auto-lookup names and definitions from the Appendix sheet.</t>
  </si>
  <si>
    <t>STEP 5 — Solutions Map  (Thinking in Time &amp; Scale)</t>
  </si>
  <si>
    <t>PAST</t>
  </si>
  <si>
    <t>PRESENT</t>
  </si>
  <si>
    <t>FUTURE</t>
  </si>
  <si>
    <t>SUPER-SYSTEM</t>
  </si>
  <si>
    <t>SYSTEM</t>
  </si>
  <si>
    <t>SUB-SYSTEM</t>
  </si>
  <si>
    <t>STEP 6 — Target Innovation Level</t>
  </si>
  <si>
    <t>Level 1</t>
  </si>
  <si>
    <t>Apparent (32%) — simple improvements using company knowledge</t>
  </si>
  <si>
    <t>Level 2</t>
  </si>
  <si>
    <t>Improvement (45%) — adaptation from similar systems/industry</t>
  </si>
  <si>
    <t>Level 3</t>
  </si>
  <si>
    <t>Fundamental change (18%) — radical innovation from other fields</t>
  </si>
  <si>
    <t>Level 4</t>
  </si>
  <si>
    <t>New application (&lt;4%) — new combination of technologies</t>
  </si>
  <si>
    <t>Level 5</t>
  </si>
  <si>
    <t>Breakthrough (&lt;1%) — new invention based on new science</t>
  </si>
  <si>
    <t>STEP 7 — Next Actions &amp; Owner</t>
  </si>
  <si>
    <t>Action item</t>
  </si>
  <si>
    <t>Owner</t>
  </si>
  <si>
    <t>Target date</t>
  </si>
  <si>
    <t>Status</t>
  </si>
  <si>
    <t>Altshuller Contradiction Matrix — Full 39×39 (Oxford Creativity reference)</t>
  </si>
  <si>
    <t>ROW = Parameter to IMPROVE (green)   |   COLUMN = Parameter that WORSENS (red)   |   Teal cell = recommended TRIZ principles   |   Grey = no standard recommendation (use physical contradiction path)</t>
  </si>
  <si>
    <t>1. Weight of moving object</t>
  </si>
  <si>
    <t>2. Weight of stationary object</t>
  </si>
  <si>
    <t>3. Length of moving object</t>
  </si>
  <si>
    <t>4. Length of stationary object</t>
  </si>
  <si>
    <t>5. Area of moving object</t>
  </si>
  <si>
    <t>6. Area of stationary object</t>
  </si>
  <si>
    <t>7. Volume of moving object</t>
  </si>
  <si>
    <t>8. Volume of stationary object</t>
  </si>
  <si>
    <t>9. Speed</t>
  </si>
  <si>
    <t>10. Force</t>
  </si>
  <si>
    <t>11. Stress or pressure</t>
  </si>
  <si>
    <t>12. Shape</t>
  </si>
  <si>
    <t>13. Stability of object composition</t>
  </si>
  <si>
    <t>14. Strength</t>
  </si>
  <si>
    <t>15. Duration of action - moving</t>
  </si>
  <si>
    <t>16. Duration of action - stationary</t>
  </si>
  <si>
    <t>17. Temperature</t>
  </si>
  <si>
    <t>18. Illumination intensity</t>
  </si>
  <si>
    <t>19. Use of energy by moving object</t>
  </si>
  <si>
    <t>20. Use of energy by stationary object</t>
  </si>
  <si>
    <t>21. Power</t>
  </si>
  <si>
    <t>22. Loss of energy</t>
  </si>
  <si>
    <t>23. Loss of substance</t>
  </si>
  <si>
    <t>24. Loss of information</t>
  </si>
  <si>
    <t>25. Loss of time</t>
  </si>
  <si>
    <t>26. Amount of substance</t>
  </si>
  <si>
    <t>27. Reliability</t>
  </si>
  <si>
    <t>28. Measurement accuracy</t>
  </si>
  <si>
    <t>29. Manufacturing precision</t>
  </si>
  <si>
    <t>30. Object-generated harmful effects</t>
  </si>
  <si>
    <t>31. Harmful side effects</t>
  </si>
  <si>
    <t>32. Ease of manufacture</t>
  </si>
  <si>
    <t>33. Ease of operation</t>
  </si>
  <si>
    <t>34. Ease of repair</t>
  </si>
  <si>
    <t>35. Adaptability or versatility</t>
  </si>
  <si>
    <t>36. Device complexity</t>
  </si>
  <si>
    <t>37. Difficulty of detecting and measuring</t>
  </si>
  <si>
    <t>38. Extent of automation</t>
  </si>
  <si>
    <t>39. Productivity</t>
  </si>
  <si>
    <t>—</t>
  </si>
  <si>
    <t>15,8,29,34</t>
  </si>
  <si>
    <t>29,17,38,34</t>
  </si>
  <si>
    <t>29,2,40,28</t>
  </si>
  <si>
    <t>2,8,15,38</t>
  </si>
  <si>
    <t>2,28,13,38</t>
  </si>
  <si>
    <t>8,1,37,18</t>
  </si>
  <si>
    <t>17,10,4</t>
  </si>
  <si>
    <t>1,8,15,34</t>
  </si>
  <si>
    <t>28,10</t>
  </si>
  <si>
    <t>1,8,40,15</t>
  </si>
  <si>
    <t>15,14,28,26</t>
  </si>
  <si>
    <t>35,10,3,21</t>
  </si>
  <si>
    <t>35,19,18,37</t>
  </si>
  <si>
    <t>12,18,28,31</t>
  </si>
  <si>
    <t>6,2,34,19</t>
  </si>
  <si>
    <t>5,35,3,31</t>
  </si>
  <si>
    <t>10,24,35,19</t>
  </si>
  <si>
    <t>35,26</t>
  </si>
  <si>
    <t>22,21,40,4</t>
  </si>
  <si>
    <t>28,32,1,24</t>
  </si>
  <si>
    <t>28,32,13,18</t>
  </si>
  <si>
    <t>22,21,18,27</t>
  </si>
  <si>
    <t>22,35,31,39</t>
  </si>
  <si>
    <t>27,28,1,36</t>
  </si>
  <si>
    <t>35,3,2,24</t>
  </si>
  <si>
    <t>29,3,8,25</t>
  </si>
  <si>
    <t>1,28,35,6</t>
  </si>
  <si>
    <t>26,27,13</t>
  </si>
  <si>
    <t>28,26,18,35</t>
  </si>
  <si>
    <t>35,26,24,37</t>
  </si>
  <si>
    <t>10,1,29,35</t>
  </si>
  <si>
    <t>35,28,40,29</t>
  </si>
  <si>
    <t>17,28</t>
  </si>
  <si>
    <t>10,28,19,39</t>
  </si>
  <si>
    <t>8,10,19,35</t>
  </si>
  <si>
    <t>13,19,10,37</t>
  </si>
  <si>
    <t>17,9,15</t>
  </si>
  <si>
    <t>10,28,8</t>
  </si>
  <si>
    <t>35,10,21</t>
  </si>
  <si>
    <t>19,18,36,40</t>
  </si>
  <si>
    <t>18,19,28,1</t>
  </si>
  <si>
    <t>15,18,35,34</t>
  </si>
  <si>
    <t>10,20,26,5</t>
  </si>
  <si>
    <t>10,35,29,39</t>
  </si>
  <si>
    <t>28,32,10</t>
  </si>
  <si>
    <t>35,11,22,31</t>
  </si>
  <si>
    <t>22,19,29,40</t>
  </si>
  <si>
    <t>35,10,16</t>
  </si>
  <si>
    <t>1,6</t>
  </si>
  <si>
    <t>13,1,26,24</t>
  </si>
  <si>
    <t>15,29,28</t>
  </si>
  <si>
    <t>26</t>
  </si>
  <si>
    <t>30,10,14,1</t>
  </si>
  <si>
    <t>1,10,34,28</t>
  </si>
  <si>
    <t>8,15,29,34</t>
  </si>
  <si>
    <t>15,17,4</t>
  </si>
  <si>
    <t>7,17,4,35</t>
  </si>
  <si>
    <t>13,4,8</t>
  </si>
  <si>
    <t>13,28</t>
  </si>
  <si>
    <t>1,8,35</t>
  </si>
  <si>
    <t>1,15,8,35</t>
  </si>
  <si>
    <t>8,35,29,34</t>
  </si>
  <si>
    <t>19</t>
  </si>
  <si>
    <t>10,15,19</t>
  </si>
  <si>
    <t>32</t>
  </si>
  <si>
    <t>19,10,32,18</t>
  </si>
  <si>
    <t>10,35,34,20</t>
  </si>
  <si>
    <t>10,28,29,35</t>
  </si>
  <si>
    <t>14,26,28,25</t>
  </si>
  <si>
    <t>3,35,38,18</t>
  </si>
  <si>
    <t>13,35</t>
  </si>
  <si>
    <t>32,28,13</t>
  </si>
  <si>
    <t>22,1,3,35</t>
  </si>
  <si>
    <t>17,1,39,4</t>
  </si>
  <si>
    <t>17,24,26,16</t>
  </si>
  <si>
    <t>14,4,28,29</t>
  </si>
  <si>
    <t>1,4</t>
  </si>
  <si>
    <t>17,15</t>
  </si>
  <si>
    <t>1,17,13,12</t>
  </si>
  <si>
    <t>1,17,13,16</t>
  </si>
  <si>
    <t>17,7,10,40</t>
  </si>
  <si>
    <t>35,8,2,14</t>
  </si>
  <si>
    <t>1,14,35</t>
  </si>
  <si>
    <t>2,26</t>
  </si>
  <si>
    <t>1,26</t>
  </si>
  <si>
    <t>10,28,35,23</t>
  </si>
  <si>
    <t>12,28,10,24</t>
  </si>
  <si>
    <t>3,35,13</t>
  </si>
  <si>
    <t>1,32</t>
  </si>
  <si>
    <t>25,10</t>
  </si>
  <si>
    <t>35,28,9,10</t>
  </si>
  <si>
    <t>10,28,24,35</t>
  </si>
  <si>
    <t>1,35,20,10</t>
  </si>
  <si>
    <t>13,3,36,24</t>
  </si>
  <si>
    <t>15,37,8</t>
  </si>
  <si>
    <t>15,10,37,28</t>
  </si>
  <si>
    <t>26,1</t>
  </si>
  <si>
    <t>29,1,4,16</t>
  </si>
  <si>
    <t>2,18,37</t>
  </si>
  <si>
    <t>28,10,29,35</t>
  </si>
  <si>
    <t>2,17,29,4</t>
  </si>
  <si>
    <t>14,15,18,4</t>
  </si>
  <si>
    <t>30,2</t>
  </si>
  <si>
    <t>26,7,9,39</t>
  </si>
  <si>
    <t>2,38</t>
  </si>
  <si>
    <t>19,30,35,2</t>
  </si>
  <si>
    <t>15,17,30,26</t>
  </si>
  <si>
    <t>2,11,13</t>
  </si>
  <si>
    <t>10,28,15</t>
  </si>
  <si>
    <t>5,34,29,4</t>
  </si>
  <si>
    <t>2,15,16</t>
  </si>
  <si>
    <t>15,32</t>
  </si>
  <si>
    <t>15,30,14,28</t>
  </si>
  <si>
    <t>15,26,17,13</t>
  </si>
  <si>
    <t>17,26,38,10</t>
  </si>
  <si>
    <t>14,9,13,15</t>
  </si>
  <si>
    <t>2,6,34,14</t>
  </si>
  <si>
    <t>10,15,17,7</t>
  </si>
  <si>
    <t>10,22,29,40</t>
  </si>
  <si>
    <t>28,32,3</t>
  </si>
  <si>
    <t>32,28,3,16</t>
  </si>
  <si>
    <t>2,25,28,39</t>
  </si>
  <si>
    <t>1,28,10</t>
  </si>
  <si>
    <t>1,32,10,25</t>
  </si>
  <si>
    <t>1,32,13,11</t>
  </si>
  <si>
    <t>2,28,10,25</t>
  </si>
  <si>
    <t>2,26,35</t>
  </si>
  <si>
    <t>32,26,28,18</t>
  </si>
  <si>
    <t>2,25,16</t>
  </si>
  <si>
    <t>12,28,35</t>
  </si>
  <si>
    <t>10,40,28,2</t>
  </si>
  <si>
    <t>3,35</t>
  </si>
  <si>
    <t>10,15,36,28</t>
  </si>
  <si>
    <t>10,15,36,37</t>
  </si>
  <si>
    <t>35,10,14</t>
  </si>
  <si>
    <t>16,17,26,24</t>
  </si>
  <si>
    <t>16,4</t>
  </si>
  <si>
    <t>10,35,4,18</t>
  </si>
  <si>
    <t>22,21,3,35</t>
  </si>
  <si>
    <t>27,2,39,35</t>
  </si>
  <si>
    <t>10,35,28,24</t>
  </si>
  <si>
    <t>35,1,13,11</t>
  </si>
  <si>
    <t>26,2</t>
  </si>
  <si>
    <t>36,28,40,19</t>
  </si>
  <si>
    <t>35,10,38,19</t>
  </si>
  <si>
    <t>2,26,29,40</t>
  </si>
  <si>
    <t>1,7,4,35</t>
  </si>
  <si>
    <t>1,7,4,17</t>
  </si>
  <si>
    <t>29,4,38,34</t>
  </si>
  <si>
    <t>15,35,36,37</t>
  </si>
  <si>
    <t>6,35,36,37</t>
  </si>
  <si>
    <t>1,15,29,4</t>
  </si>
  <si>
    <t>28,10,1</t>
  </si>
  <si>
    <t>9,14,15,7</t>
  </si>
  <si>
    <t>6,35,4</t>
  </si>
  <si>
    <t>34,39,40,18</t>
  </si>
  <si>
    <t>2,13,10</t>
  </si>
  <si>
    <t>35,6,13,18</t>
  </si>
  <si>
    <t>7,2,35</t>
  </si>
  <si>
    <t>16,35,38</t>
  </si>
  <si>
    <t>2,20,22</t>
  </si>
  <si>
    <t>26,24</t>
  </si>
  <si>
    <t>10,6,2,34</t>
  </si>
  <si>
    <t>39,35,34,10</t>
  </si>
  <si>
    <t>28,32,4</t>
  </si>
  <si>
    <t>28,32,4,22</t>
  </si>
  <si>
    <t>22,21,27,35</t>
  </si>
  <si>
    <t>34,10,28</t>
  </si>
  <si>
    <t>10,28,32</t>
  </si>
  <si>
    <t>15,34,33</t>
  </si>
  <si>
    <t>35,10,28,23</t>
  </si>
  <si>
    <t>10,28,29,4</t>
  </si>
  <si>
    <t>7,15,13,16</t>
  </si>
  <si>
    <t>35,15,18,34</t>
  </si>
  <si>
    <t>35,10,38</t>
  </si>
  <si>
    <t>24,35</t>
  </si>
  <si>
    <t>34,28,35,40</t>
  </si>
  <si>
    <t>9,14,17,15</t>
  </si>
  <si>
    <t>35,10,19,14</t>
  </si>
  <si>
    <t>28,18,10,40</t>
  </si>
  <si>
    <t>30,27</t>
  </si>
  <si>
    <t>3,34,40,29</t>
  </si>
  <si>
    <t>10,35,4</t>
  </si>
  <si>
    <t>28,32,1</t>
  </si>
  <si>
    <t>28,35,10,23</t>
  </si>
  <si>
    <t>28,10,21,35</t>
  </si>
  <si>
    <t>1,35,10,28</t>
  </si>
  <si>
    <t>13,28,15</t>
  </si>
  <si>
    <t>29,30,34</t>
  </si>
  <si>
    <t>7,29,34</t>
  </si>
  <si>
    <t>13,28,15,19</t>
  </si>
  <si>
    <t>28,33,1,18</t>
  </si>
  <si>
    <t>8,3,26,14</t>
  </si>
  <si>
    <t>15,37,19</t>
  </si>
  <si>
    <t>28,15</t>
  </si>
  <si>
    <t>18,13,34</t>
  </si>
  <si>
    <t>10,37,36</t>
  </si>
  <si>
    <t>28,30,36,2</t>
  </si>
  <si>
    <t>13,28,15,12</t>
  </si>
  <si>
    <t>6,18,38,40</t>
  </si>
  <si>
    <t>10,20,37,35</t>
  </si>
  <si>
    <t>35,4,34,10</t>
  </si>
  <si>
    <t>16,35,10</t>
  </si>
  <si>
    <t>28,33,18,4</t>
  </si>
  <si>
    <t>10,37,4</t>
  </si>
  <si>
    <t>14,10,34,40</t>
  </si>
  <si>
    <t>35,2,10,3</t>
  </si>
  <si>
    <t>10,40,16</t>
  </si>
  <si>
    <t>32,28,2,24</t>
  </si>
  <si>
    <t>10,28,32,25</t>
  </si>
  <si>
    <t>13,26</t>
  </si>
  <si>
    <t>35,10,34,28</t>
  </si>
  <si>
    <t>1,18,36,37</t>
  </si>
  <si>
    <t>15,9,12,37</t>
  </si>
  <si>
    <t>2,36,25</t>
  </si>
  <si>
    <t>36,35,21</t>
  </si>
  <si>
    <t>35,10,37,40</t>
  </si>
  <si>
    <t>35,1,14,16</t>
  </si>
  <si>
    <t>10,35,40</t>
  </si>
  <si>
    <t>19,2,35,32</t>
  </si>
  <si>
    <t>1</t>
  </si>
  <si>
    <t>19,17,10</t>
  </si>
  <si>
    <t>14,2</t>
  </si>
  <si>
    <t>15,4,17,28</t>
  </si>
  <si>
    <t>3,35,13,21</t>
  </si>
  <si>
    <t>35,10,14,3</t>
  </si>
  <si>
    <t>14,15,22,35</t>
  </si>
  <si>
    <t>10,3,18,40</t>
  </si>
  <si>
    <t>26,32,27</t>
  </si>
  <si>
    <t>26,10,28</t>
  </si>
  <si>
    <t>10,26,35</t>
  </si>
  <si>
    <t>19,35,10,38</t>
  </si>
  <si>
    <t>16,26,21,2</t>
  </si>
  <si>
    <t>36,37</t>
  </si>
  <si>
    <t>35,28,2,24</t>
  </si>
  <si>
    <t>10,36,37,40</t>
  </si>
  <si>
    <t>19,10,15</t>
  </si>
  <si>
    <t>35,22,40,15</t>
  </si>
  <si>
    <t>28,15,10,36</t>
  </si>
  <si>
    <t>35,10,40,34</t>
  </si>
  <si>
    <t>35,4,15,10</t>
  </si>
  <si>
    <t>35,33,2,40</t>
  </si>
  <si>
    <t>9,18,3,40</t>
  </si>
  <si>
    <t>35,39,19,2</t>
  </si>
  <si>
    <t>14,24,10,37</t>
  </si>
  <si>
    <t>10,35,14</t>
  </si>
  <si>
    <t>35,24</t>
  </si>
  <si>
    <t>10,14,35</t>
  </si>
  <si>
    <t>35,33,29,31</t>
  </si>
  <si>
    <t>10,35,40,4</t>
  </si>
  <si>
    <t>3,35,40,10</t>
  </si>
  <si>
    <t>22,2,37</t>
  </si>
  <si>
    <t>2,33,27,18</t>
  </si>
  <si>
    <t>35,1,32,10</t>
  </si>
  <si>
    <t>35,40,28</t>
  </si>
  <si>
    <t>35,10,28,1</t>
  </si>
  <si>
    <t>22,35,18,39</t>
  </si>
  <si>
    <t>35,22,1,39</t>
  </si>
  <si>
    <t>35,28,1,40</t>
  </si>
  <si>
    <t>28,10,35</t>
  </si>
  <si>
    <t>8,10,29,40</t>
  </si>
  <si>
    <t>15,10,26,3</t>
  </si>
  <si>
    <t>29,34,5,4</t>
  </si>
  <si>
    <t>1,40,35</t>
  </si>
  <si>
    <t>35,15,34,18</t>
  </si>
  <si>
    <t>34,15,10,14</t>
  </si>
  <si>
    <t>33,1,28,13</t>
  </si>
  <si>
    <t>30,14,10,40</t>
  </si>
  <si>
    <t>10,40,28,34</t>
  </si>
  <si>
    <t>35,19,32,39</t>
  </si>
  <si>
    <t>2,32</t>
  </si>
  <si>
    <t>15,13,39</t>
  </si>
  <si>
    <t>35,10,25</t>
  </si>
  <si>
    <t>14,9,22,35</t>
  </si>
  <si>
    <t>22,14,19,32</t>
  </si>
  <si>
    <t>13,35,39,18</t>
  </si>
  <si>
    <t>28,32,35</t>
  </si>
  <si>
    <t>28,32,23,16</t>
  </si>
  <si>
    <t>13,35,1,16</t>
  </si>
  <si>
    <t>22,10,35,28</t>
  </si>
  <si>
    <t>22,10,35</t>
  </si>
  <si>
    <t>22,10,1</t>
  </si>
  <si>
    <t>1,22,35,28</t>
  </si>
  <si>
    <t>17,32,13,38</t>
  </si>
  <si>
    <t>28,32,13</t>
  </si>
  <si>
    <t>1,32,17,28</t>
  </si>
  <si>
    <t>10,35,28,29</t>
  </si>
  <si>
    <t>21,35,2,39</t>
  </si>
  <si>
    <t>26,39,1,40</t>
  </si>
  <si>
    <t>1,6,2,36</t>
  </si>
  <si>
    <t>33,15,28,18</t>
  </si>
  <si>
    <t>10,35,18,3</t>
  </si>
  <si>
    <t>35,10,18</t>
  </si>
  <si>
    <t>35,40,27,39</t>
  </si>
  <si>
    <t>28,6,35,18</t>
  </si>
  <si>
    <t>32,35,40,4</t>
  </si>
  <si>
    <t>2,35,40</t>
  </si>
  <si>
    <t>22,1,18,4</t>
  </si>
  <si>
    <t>13,27,10,35</t>
  </si>
  <si>
    <t>2,22,35</t>
  </si>
  <si>
    <t>10,4,29,15</t>
  </si>
  <si>
    <t>35,29</t>
  </si>
  <si>
    <t>11,28</t>
  </si>
  <si>
    <t>2,35,40,10</t>
  </si>
  <si>
    <t>1,35,28,18</t>
  </si>
  <si>
    <t>1,13,32</t>
  </si>
  <si>
    <t>35,1,32,13</t>
  </si>
  <si>
    <t>1,35,32</t>
  </si>
  <si>
    <t>35,30,14,24</t>
  </si>
  <si>
    <t>10,35,13</t>
  </si>
  <si>
    <t>35,28</t>
  </si>
  <si>
    <t>40,26,27,1</t>
  </si>
  <si>
    <t>10,14,29,40</t>
  </si>
  <si>
    <t>10,15,14,7</t>
  </si>
  <si>
    <t>8,13,26,14</t>
  </si>
  <si>
    <t>10,18,3,14</t>
  </si>
  <si>
    <t>10,30,35,40</t>
  </si>
  <si>
    <t>35,3,22,39</t>
  </si>
  <si>
    <t>3,27,16</t>
  </si>
  <si>
    <t>29,3,28,35</t>
  </si>
  <si>
    <t>10,28,24</t>
  </si>
  <si>
    <t>27,3,26</t>
  </si>
  <si>
    <t>10,28,29,37</t>
  </si>
  <si>
    <t>1,35,40,18</t>
  </si>
  <si>
    <t>28,3,27,35</t>
  </si>
  <si>
    <t>1,35,13</t>
  </si>
  <si>
    <t>32,35,28,34</t>
  </si>
  <si>
    <t>32,40,28,2</t>
  </si>
  <si>
    <t>27,11,3</t>
  </si>
  <si>
    <t>28,35,3</t>
  </si>
  <si>
    <t>19,5,34,31</t>
  </si>
  <si>
    <t>2,19,9</t>
  </si>
  <si>
    <t>3,17,19</t>
  </si>
  <si>
    <t>19,10,35,38</t>
  </si>
  <si>
    <t>3,35,5</t>
  </si>
  <si>
    <t>19,35,10</t>
  </si>
  <si>
    <t>16,34,31,28</t>
  </si>
  <si>
    <t>10,37,14</t>
  </si>
  <si>
    <t>2,19,13</t>
  </si>
  <si>
    <t>8,35</t>
  </si>
  <si>
    <t>3,18,34,31</t>
  </si>
  <si>
    <t>22,10,1,35</t>
  </si>
  <si>
    <t>10,30,4</t>
  </si>
  <si>
    <t>35,10,3</t>
  </si>
  <si>
    <t>3,27,16,40</t>
  </si>
  <si>
    <t>35,3,15,19</t>
  </si>
  <si>
    <t>3,27,35,16</t>
  </si>
  <si>
    <t>21,3,35,13</t>
  </si>
  <si>
    <t>35,10,28,3</t>
  </si>
  <si>
    <t>3,35,10,40</t>
  </si>
  <si>
    <t>22,3,34</t>
  </si>
  <si>
    <t>29,3,28,18</t>
  </si>
  <si>
    <t>35,10,2,18</t>
  </si>
  <si>
    <t>19,1,35</t>
  </si>
  <si>
    <t>1,6,33</t>
  </si>
  <si>
    <t>19,28,26,35</t>
  </si>
  <si>
    <t>1,35,6,10</t>
  </si>
  <si>
    <t>28,10,2,35</t>
  </si>
  <si>
    <t>3,35,10</t>
  </si>
  <si>
    <t>28,10,35,23</t>
  </si>
  <si>
    <t>1,35,29</t>
  </si>
  <si>
    <t>2,25</t>
  </si>
  <si>
    <t>12,35,26,18</t>
  </si>
  <si>
    <t>36,22,6,38</t>
  </si>
  <si>
    <t>22,35,32</t>
  </si>
  <si>
    <t>22,1,18</t>
  </si>
  <si>
    <t>22,35,2,24</t>
  </si>
  <si>
    <t>35,28,21,18</t>
  </si>
  <si>
    <t>1,28,15,35</t>
  </si>
  <si>
    <t>15,22,33,31</t>
  </si>
  <si>
    <t>15,19,9</t>
  </si>
  <si>
    <t>3,35,22,5</t>
  </si>
  <si>
    <t>22,15,33,28</t>
  </si>
  <si>
    <t>19,32,16</t>
  </si>
  <si>
    <t>2,14,17,25</t>
  </si>
  <si>
    <t>21,17,35,38</t>
  </si>
  <si>
    <t>21,36,29,31</t>
  </si>
  <si>
    <t>26,27</t>
  </si>
  <si>
    <t>2,5,35</t>
  </si>
  <si>
    <t>28,24,22,26</t>
  </si>
  <si>
    <t>35,13,8,1</t>
  </si>
  <si>
    <t>35,32,1</t>
  </si>
  <si>
    <t>22,35,31,2</t>
  </si>
  <si>
    <t>28,27,2,31</t>
  </si>
  <si>
    <t>35,19</t>
  </si>
  <si>
    <t>1,6,15</t>
  </si>
  <si>
    <t>28,17,15,16</t>
  </si>
  <si>
    <t>2,24,26</t>
  </si>
  <si>
    <t>35,38</t>
  </si>
  <si>
    <t>32,13</t>
  </si>
  <si>
    <t>32,26</t>
  </si>
  <si>
    <t>32,30</t>
  </si>
  <si>
    <t>13,16,1,6</t>
  </si>
  <si>
    <t>32,35,19</t>
  </si>
  <si>
    <t>2,13,19</t>
  </si>
  <si>
    <t>8,35,40,25</t>
  </si>
  <si>
    <t>35,28,34,4</t>
  </si>
  <si>
    <t>10,28,38</t>
  </si>
  <si>
    <t>28,10,20</t>
  </si>
  <si>
    <t>35,13</t>
  </si>
  <si>
    <t>6,13,28,1</t>
  </si>
  <si>
    <t>32,15,26</t>
  </si>
  <si>
    <t>32,28,26</t>
  </si>
  <si>
    <t>32,35,10</t>
  </si>
  <si>
    <t>22,35,28,10</t>
  </si>
  <si>
    <t>35,13,22,18</t>
  </si>
  <si>
    <t>11,32,13</t>
  </si>
  <si>
    <t>2,13,28,35</t>
  </si>
  <si>
    <t>32,13,6</t>
  </si>
  <si>
    <t>32,2</t>
  </si>
  <si>
    <t>14,2,39,6</t>
  </si>
  <si>
    <t>12,28</t>
  </si>
  <si>
    <t>19,13,17,24</t>
  </si>
  <si>
    <t>19,14,20,35</t>
  </si>
  <si>
    <t>10,36,14,35</t>
  </si>
  <si>
    <t>10,36,3,14</t>
  </si>
  <si>
    <t>14,35,34,10</t>
  </si>
  <si>
    <t>35,26,4</t>
  </si>
  <si>
    <t>28,26,30</t>
  </si>
  <si>
    <t>1,35,32,6</t>
  </si>
  <si>
    <t>12,35,32,26</t>
  </si>
  <si>
    <t>28,35,6,22</t>
  </si>
  <si>
    <t>28,35,6,18</t>
  </si>
  <si>
    <t>6,19,28,24</t>
  </si>
  <si>
    <t>12,22,35,24</t>
  </si>
  <si>
    <t>35,24,18,5</t>
  </si>
  <si>
    <t>35,38,19,18</t>
  </si>
  <si>
    <t>34,23,16,18</t>
  </si>
  <si>
    <t>35,37</t>
  </si>
  <si>
    <t>35,2,22,26</t>
  </si>
  <si>
    <t>14,20,19,35</t>
  </si>
  <si>
    <t>35,32,15,26</t>
  </si>
  <si>
    <t>6,28,25</t>
  </si>
  <si>
    <t>3,35,15</t>
  </si>
  <si>
    <t>2,35,16</t>
  </si>
  <si>
    <t>19,24,3,14</t>
  </si>
  <si>
    <t>10,2,22,37</t>
  </si>
  <si>
    <t>19,22,18</t>
  </si>
  <si>
    <t>16,20,26,5</t>
  </si>
  <si>
    <t>28,10,35,27</t>
  </si>
  <si>
    <t>35,10,18,5</t>
  </si>
  <si>
    <t>4,28,10,34</t>
  </si>
  <si>
    <t>3,6,32</t>
  </si>
  <si>
    <t>19,35</t>
  </si>
  <si>
    <t>1,10,26,39</t>
  </si>
  <si>
    <t>8,36,38,31</t>
  </si>
  <si>
    <t>19,26,17,27</t>
  </si>
  <si>
    <t>1,10,35,37</t>
  </si>
  <si>
    <t>19,38</t>
  </si>
  <si>
    <t>2,19,6</t>
  </si>
  <si>
    <t>19,10,2,35</t>
  </si>
  <si>
    <t>1,35,6,27</t>
  </si>
  <si>
    <t>32,35,27,31</t>
  </si>
  <si>
    <t>12,35,28,31</t>
  </si>
  <si>
    <t>2,35,6</t>
  </si>
  <si>
    <t>19,10,19,38</t>
  </si>
  <si>
    <t>7,23,1,21</t>
  </si>
  <si>
    <t>35,22</t>
  </si>
  <si>
    <t>10,5,18,32</t>
  </si>
  <si>
    <t>10,35,40,34</t>
  </si>
  <si>
    <t>3,18,35,37</t>
  </si>
  <si>
    <t>10,13,28,38</t>
  </si>
  <si>
    <t>5,11,1,23</t>
  </si>
  <si>
    <t>3,13,6,22</t>
  </si>
  <si>
    <t>11,22,22,13</t>
  </si>
  <si>
    <t>10,21,22</t>
  </si>
  <si>
    <t>29,1,35,27</t>
  </si>
  <si>
    <t>3,13,27,10</t>
  </si>
  <si>
    <t>28,29,37,36</t>
  </si>
  <si>
    <t>15,6,19,28</t>
  </si>
  <si>
    <t>19,6,18,9</t>
  </si>
  <si>
    <t>7,2,6,13</t>
  </si>
  <si>
    <t>36,38,10,19</t>
  </si>
  <si>
    <t>1,28,35,10</t>
  </si>
  <si>
    <t>2,7,17</t>
  </si>
  <si>
    <t>3,27,28,35</t>
  </si>
  <si>
    <t>35,3,22,5</t>
  </si>
  <si>
    <t>28,27,18,31</t>
  </si>
  <si>
    <t>35,6,23,40</t>
  </si>
  <si>
    <t>35,6,22,32</t>
  </si>
  <si>
    <t>26,35,28,10</t>
  </si>
  <si>
    <t>28,27,15,3</t>
  </si>
  <si>
    <t>3,28,35,27</t>
  </si>
  <si>
    <t>22,35,13,24</t>
  </si>
  <si>
    <t>26,28,10,36</t>
  </si>
  <si>
    <t>14,2,39,35</t>
  </si>
  <si>
    <t>2,14,30,40</t>
  </si>
  <si>
    <t>25,28,2,16</t>
  </si>
  <si>
    <t>35,28,10,2</t>
  </si>
  <si>
    <t>14,29,10,39</t>
  </si>
  <si>
    <t>35,2,10,31</t>
  </si>
  <si>
    <t>35,10,18,32</t>
  </si>
  <si>
    <t>35,18,10,13</t>
  </si>
  <si>
    <t>14,15,1,16</t>
  </si>
  <si>
    <t>35,10,4</t>
  </si>
  <si>
    <t>33,28,25,10</t>
  </si>
  <si>
    <t>3,35,40,39</t>
  </si>
  <si>
    <t>10,13,28</t>
  </si>
  <si>
    <t>3,35,14</t>
  </si>
  <si>
    <t>10,35,2,39</t>
  </si>
  <si>
    <t>10,1,4</t>
  </si>
  <si>
    <t>3,18,34,27</t>
  </si>
  <si>
    <t>35,16,10,18</t>
  </si>
  <si>
    <t>15,18,35,10</t>
  </si>
  <si>
    <t>6,3,10,24</t>
  </si>
  <si>
    <t>10,29,39,35</t>
  </si>
  <si>
    <t>10,14,35,3</t>
  </si>
  <si>
    <t>3,28,10,25</t>
  </si>
  <si>
    <t>35,3,15,23</t>
  </si>
  <si>
    <t>35,1,32</t>
  </si>
  <si>
    <t>28,35,15,10</t>
  </si>
  <si>
    <t>35,10,28,24</t>
  </si>
  <si>
    <t>35,18,34</t>
  </si>
  <si>
    <t>1,28,10,25</t>
  </si>
  <si>
    <t>13,23,15</t>
  </si>
  <si>
    <t>14,9,13</t>
  </si>
  <si>
    <t>22,26,28,32</t>
  </si>
  <si>
    <t>26,32</t>
  </si>
  <si>
    <t>10,16,31,28</t>
  </si>
  <si>
    <t>10,28,35,25</t>
  </si>
  <si>
    <t>2,22</t>
  </si>
  <si>
    <t>10,16,29,35</t>
  </si>
  <si>
    <t>26,35</t>
  </si>
  <si>
    <t>26,24,32</t>
  </si>
  <si>
    <t>28,26,10</t>
  </si>
  <si>
    <t>26,35,10</t>
  </si>
  <si>
    <t>10,28,35</t>
  </si>
  <si>
    <t>35,18,16,15</t>
  </si>
  <si>
    <t>10,28,23</t>
  </si>
  <si>
    <t>10,19,2,35</t>
  </si>
  <si>
    <t>19,10,3,28</t>
  </si>
  <si>
    <t>15,3,32,19</t>
  </si>
  <si>
    <t>15,3,29,35</t>
  </si>
  <si>
    <t>35,23,1,24</t>
  </si>
  <si>
    <t>10,37,36,5</t>
  </si>
  <si>
    <t>37,36,4</t>
  </si>
  <si>
    <t>4,10,34,17</t>
  </si>
  <si>
    <t>29,26,4</t>
  </si>
  <si>
    <t>35,38,18,16</t>
  </si>
  <si>
    <t>24,34,28,32</t>
  </si>
  <si>
    <t>35,22,2,24</t>
  </si>
  <si>
    <t>2,10,19,30</t>
  </si>
  <si>
    <t>35,20,10,6</t>
  </si>
  <si>
    <t>3,35,39,18</t>
  </si>
  <si>
    <t>35,22,10,2</t>
  </si>
  <si>
    <t>15,2,29</t>
  </si>
  <si>
    <t>35,16,32,18</t>
  </si>
  <si>
    <t>32,1,10,25</t>
  </si>
  <si>
    <t>35,28,34,18</t>
  </si>
  <si>
    <t>10,28,4,34</t>
  </si>
  <si>
    <t>35,10,2</t>
  </si>
  <si>
    <t>32,1,28,35</t>
  </si>
  <si>
    <t>6,29</t>
  </si>
  <si>
    <t>1,35,29,38</t>
  </si>
  <si>
    <t>1,35,4,18</t>
  </si>
  <si>
    <t>35,6,18,31</t>
  </si>
  <si>
    <t>18,3,28,40</t>
  </si>
  <si>
    <t>15,3,29</t>
  </si>
  <si>
    <t>3,13,10,28</t>
  </si>
  <si>
    <t>3,36,37,10</t>
  </si>
  <si>
    <t>3,35,31</t>
  </si>
  <si>
    <t>35,10,33,22</t>
  </si>
  <si>
    <t>35,29,34,28</t>
  </si>
  <si>
    <t>35,14,3</t>
  </si>
  <si>
    <t>15,2,17,40</t>
  </si>
  <si>
    <t>19,21,35,28</t>
  </si>
  <si>
    <t>35,6,23</t>
  </si>
  <si>
    <t>10,14,29,35</t>
  </si>
  <si>
    <t>35,22,18,39</t>
  </si>
  <si>
    <t>10,3,28,24</t>
  </si>
  <si>
    <t>35,29,25,10</t>
  </si>
  <si>
    <t>29,30,6,13</t>
  </si>
  <si>
    <t>14,1,13,16</t>
  </si>
  <si>
    <t>3,8,10,40</t>
  </si>
  <si>
    <t>3,10,8,28</t>
  </si>
  <si>
    <t>15,9,14,4</t>
  </si>
  <si>
    <t>15,29,28,11</t>
  </si>
  <si>
    <t>17,10,14,16</t>
  </si>
  <si>
    <t>32,35,26,28</t>
  </si>
  <si>
    <t>3,10,14</t>
  </si>
  <si>
    <t>2,35,24</t>
  </si>
  <si>
    <t>21,35,11,28</t>
  </si>
  <si>
    <t>8,28,10,3</t>
  </si>
  <si>
    <t>10,11,35</t>
  </si>
  <si>
    <t>11,28,10,25</t>
  </si>
  <si>
    <t>10,3,11</t>
  </si>
  <si>
    <t>19,32,28</t>
  </si>
  <si>
    <t>21,28,40,3</t>
  </si>
  <si>
    <t>10,13,28,35</t>
  </si>
  <si>
    <t>10,35,13,8</t>
  </si>
  <si>
    <t>10,3,11,35</t>
  </si>
  <si>
    <t>11,27,16</t>
  </si>
  <si>
    <t>27,35,2,40</t>
  </si>
  <si>
    <t>1,35,40,28</t>
  </si>
  <si>
    <t>13,35,1</t>
  </si>
  <si>
    <t>27,40,28,8</t>
  </si>
  <si>
    <t>11,13,27</t>
  </si>
  <si>
    <t>28,35,25,26</t>
  </si>
  <si>
    <t>28,26,5,16</t>
  </si>
  <si>
    <t>26,28,32,3</t>
  </si>
  <si>
    <t>28,13,32,24</t>
  </si>
  <si>
    <t>6,28,32</t>
  </si>
  <si>
    <t>28,6,32</t>
  </si>
  <si>
    <t>32,35,13</t>
  </si>
  <si>
    <t>28,6,32,26</t>
  </si>
  <si>
    <t>10,26,24</t>
  </si>
  <si>
    <t>28,32,35,26</t>
  </si>
  <si>
    <t>28,32,2</t>
  </si>
  <si>
    <t>28,32,6,26</t>
  </si>
  <si>
    <t>28,32,13,26</t>
  </si>
  <si>
    <t>25,28,35,26</t>
  </si>
  <si>
    <t>28,6,32,24</t>
  </si>
  <si>
    <t>28,35,10,16</t>
  </si>
  <si>
    <t>1,6,13,32</t>
  </si>
  <si>
    <t>28,35,15</t>
  </si>
  <si>
    <t>28,35,27,9</t>
  </si>
  <si>
    <t>2,32,10</t>
  </si>
  <si>
    <t>28,33,29,32</t>
  </si>
  <si>
    <t>2,29,18,36</t>
  </si>
  <si>
    <t>28,19,34,36</t>
  </si>
  <si>
    <t>32,30,40</t>
  </si>
  <si>
    <t>30,18</t>
  </si>
  <si>
    <t>3,27</t>
  </si>
  <si>
    <t>3,27,40</t>
  </si>
  <si>
    <t>35,19,32,24</t>
  </si>
  <si>
    <t>19,35,28,26</t>
  </si>
  <si>
    <t>10,13,19,35</t>
  </si>
  <si>
    <t>35,10,25,28</t>
  </si>
  <si>
    <t>11,3,10,32</t>
  </si>
  <si>
    <t>3,10,25,28</t>
  </si>
  <si>
    <t>35,10,2,16</t>
  </si>
  <si>
    <t>35,10,25,16</t>
  </si>
  <si>
    <t>2,35,10,16</t>
  </si>
  <si>
    <t>28,35,10</t>
  </si>
  <si>
    <t>13,35,2</t>
  </si>
  <si>
    <t>28,6,13</t>
  </si>
  <si>
    <t>6,28,13,32</t>
  </si>
  <si>
    <t>22,21,27,39</t>
  </si>
  <si>
    <t>2,22,13,24</t>
  </si>
  <si>
    <t>1,18,35,36</t>
  </si>
  <si>
    <t>22,23,37,35</t>
  </si>
  <si>
    <t>34,39,19,27</t>
  </si>
  <si>
    <t>21,22,35,28</t>
  </si>
  <si>
    <t>10,1,34,29</t>
  </si>
  <si>
    <t>10,21,29,40</t>
  </si>
  <si>
    <t>1,22,4</t>
  </si>
  <si>
    <t>33,22,19,40</t>
  </si>
  <si>
    <t>11,29,28,27</t>
  </si>
  <si>
    <t>35,27,2,40</t>
  </si>
  <si>
    <t>35,2,40,26</t>
  </si>
  <si>
    <t>33,3,34</t>
  </si>
  <si>
    <t>32,1,19</t>
  </si>
  <si>
    <t>1,24,6,27</t>
  </si>
  <si>
    <t>24,30,22,40</t>
  </si>
  <si>
    <t>10,35,13,2</t>
  </si>
  <si>
    <t>1,35,29,2</t>
  </si>
  <si>
    <t>35,18,27,2</t>
  </si>
  <si>
    <t>10,2,13,19</t>
  </si>
  <si>
    <t>19,22,15,39</t>
  </si>
  <si>
    <t>17,15,16,22</t>
  </si>
  <si>
    <t>17,2,18,39</t>
  </si>
  <si>
    <t>22,1,40</t>
  </si>
  <si>
    <t>17,2,40</t>
  </si>
  <si>
    <t>30,18,35,4</t>
  </si>
  <si>
    <t>35,28,3,23</t>
  </si>
  <si>
    <t>35,28,10,40</t>
  </si>
  <si>
    <t>33,28,18,4</t>
  </si>
  <si>
    <t>35,40,10,27</t>
  </si>
  <si>
    <t>15,35,22,2</t>
  </si>
  <si>
    <t>21,39,16,22</t>
  </si>
  <si>
    <t>22,35,31,24</t>
  </si>
  <si>
    <t>17,1,40,33</t>
  </si>
  <si>
    <t>22,19,29,28</t>
  </si>
  <si>
    <t>32,3,27,16</t>
  </si>
  <si>
    <t>3,27,35</t>
  </si>
  <si>
    <t>18,35,37,1</t>
  </si>
  <si>
    <t>17,1,40,24</t>
  </si>
  <si>
    <t>22,33,35,2</t>
  </si>
  <si>
    <t>1,19,32,13</t>
  </si>
  <si>
    <t>1,3,10,32</t>
  </si>
  <si>
    <t>28,29,15,16</t>
  </si>
  <si>
    <t>1,27,36,13</t>
  </si>
  <si>
    <t>1,35,16</t>
  </si>
  <si>
    <t>26,17,34,10</t>
  </si>
  <si>
    <t>24,17,13</t>
  </si>
  <si>
    <t>2,17,26</t>
  </si>
  <si>
    <t>1,32,17,26</t>
  </si>
  <si>
    <t>34,2,28,27</t>
  </si>
  <si>
    <t>15,34,1,16</t>
  </si>
  <si>
    <t>32,24,18,16</t>
  </si>
  <si>
    <t>2,13,15</t>
  </si>
  <si>
    <t>35,1,11,9</t>
  </si>
  <si>
    <t>28,10,9,35</t>
  </si>
  <si>
    <t>29,10,27,35</t>
  </si>
  <si>
    <t>35,10,28,29</t>
  </si>
  <si>
    <t>10,35,28,38</t>
  </si>
  <si>
    <t>10,13,35,7</t>
  </si>
  <si>
    <t>35,10,13,28</t>
  </si>
  <si>
    <t>35,28,13,27</t>
  </si>
  <si>
    <t>25,2,13,15</t>
  </si>
  <si>
    <t>6,13,1,25</t>
  </si>
  <si>
    <t>18,16,15,39</t>
  </si>
  <si>
    <t>1,16,35,15</t>
  </si>
  <si>
    <t>4,18,39,31</t>
  </si>
  <si>
    <t>28,13,35</t>
  </si>
  <si>
    <t>2,32,12</t>
  </si>
  <si>
    <t>15,34,29,28</t>
  </si>
  <si>
    <t>32,35,30</t>
  </si>
  <si>
    <t>12,17,28,24</t>
  </si>
  <si>
    <t>28,2,17,35</t>
  </si>
  <si>
    <t>2,35,13,16</t>
  </si>
  <si>
    <t>15,32,1,13</t>
  </si>
  <si>
    <t>18,1</t>
  </si>
  <si>
    <t>16,10,28,35</t>
  </si>
  <si>
    <t>4,18,39,34</t>
  </si>
  <si>
    <t>2,35,30,16</t>
  </si>
  <si>
    <t>35,1,16,11</t>
  </si>
  <si>
    <t>10,36,3,37</t>
  </si>
  <si>
    <t>35,28,2</t>
  </si>
  <si>
    <t>25,2,35,11</t>
  </si>
  <si>
    <t>15,37,18</t>
  </si>
  <si>
    <t>1,28,13,27</t>
  </si>
  <si>
    <t>15,1,28,16</t>
  </si>
  <si>
    <t>18,10,13,34</t>
  </si>
  <si>
    <t>2,27,35,40</t>
  </si>
  <si>
    <t>3,18,27,40</t>
  </si>
  <si>
    <t>15,13,32</t>
  </si>
  <si>
    <t>16,25</t>
  </si>
  <si>
    <t>34,9</t>
  </si>
  <si>
    <t>1,11,10</t>
  </si>
  <si>
    <t>13,35,1,11</t>
  </si>
  <si>
    <t>2,13,15,16</t>
  </si>
  <si>
    <t>25,10,28,1</t>
  </si>
  <si>
    <t>11,10,1,16</t>
  </si>
  <si>
    <t>11,13,1</t>
  </si>
  <si>
    <t>1,13,2,4</t>
  </si>
  <si>
    <t>2,35,13,10</t>
  </si>
  <si>
    <t>34,9,27,40</t>
  </si>
  <si>
    <t>15,10,32,2</t>
  </si>
  <si>
    <t>15,1,32,19</t>
  </si>
  <si>
    <t>2,35,3,25</t>
  </si>
  <si>
    <t>2,35,28,26</t>
  </si>
  <si>
    <t>35,28,10,6</t>
  </si>
  <si>
    <t>2,10,3</t>
  </si>
  <si>
    <t>1,32,2,9</t>
  </si>
  <si>
    <t>35,28,6</t>
  </si>
  <si>
    <t>3,1,32,13</t>
  </si>
  <si>
    <t>35,28,25,10</t>
  </si>
  <si>
    <t>2,10,28,25</t>
  </si>
  <si>
    <t>15,35,29</t>
  </si>
  <si>
    <t>15,29,37,28</t>
  </si>
  <si>
    <t>35,30,29,7</t>
  </si>
  <si>
    <t>15,16,35,28</t>
  </si>
  <si>
    <t>15,37,1,8</t>
  </si>
  <si>
    <t>35,30,14</t>
  </si>
  <si>
    <t>35,28,33,18</t>
  </si>
  <si>
    <t>15,10,2</t>
  </si>
  <si>
    <t>14,1,16,10</t>
  </si>
  <si>
    <t>2,35,15</t>
  </si>
  <si>
    <t>35,30,14,2</t>
  </si>
  <si>
    <t>3,15,40,14</t>
  </si>
  <si>
    <t>35,14,1,16</t>
  </si>
  <si>
    <t>15,37,1</t>
  </si>
  <si>
    <t>35,14,2</t>
  </si>
  <si>
    <t>35,14,18,34</t>
  </si>
  <si>
    <t>35,30,14,18</t>
  </si>
  <si>
    <t>35,10,21,16</t>
  </si>
  <si>
    <t>35,13,8,24</t>
  </si>
  <si>
    <t>35,5,1,10</t>
  </si>
  <si>
    <t>35,11,32,31</t>
  </si>
  <si>
    <t>35,10,28</t>
  </si>
  <si>
    <t>35,10,37</t>
  </si>
  <si>
    <t>32,1,2,9</t>
  </si>
  <si>
    <t>1,6,13,26</t>
  </si>
  <si>
    <t>1,15,29,16</t>
  </si>
  <si>
    <t>26,30,34,36</t>
  </si>
  <si>
    <t>2,26,35,39</t>
  </si>
  <si>
    <t>1,19,26,24</t>
  </si>
  <si>
    <t>2,35</t>
  </si>
  <si>
    <t>2,10,34,31</t>
  </si>
  <si>
    <t>35,39,38</t>
  </si>
  <si>
    <t>15,10,37</t>
  </si>
  <si>
    <t>26,2,19,16</t>
  </si>
  <si>
    <t>13,29,2,4</t>
  </si>
  <si>
    <t>1,19,26,17</t>
  </si>
  <si>
    <t>1,19,26</t>
  </si>
  <si>
    <t>10,26,13</t>
  </si>
  <si>
    <t>19,26,24,32</t>
  </si>
  <si>
    <t>10,26,32,28</t>
  </si>
  <si>
    <t>1,6,29</t>
  </si>
  <si>
    <t>35,26,2,4</t>
  </si>
  <si>
    <t>10,16,3,28</t>
  </si>
  <si>
    <t>28,1,9,26</t>
  </si>
  <si>
    <t>28,10,19,34</t>
  </si>
  <si>
    <t>15,17,20</t>
  </si>
  <si>
    <t>28,26,35,10</t>
  </si>
  <si>
    <t>2,26,35,10</t>
  </si>
  <si>
    <t>10,18,32,39</t>
  </si>
  <si>
    <t>28,6,13,26</t>
  </si>
  <si>
    <t>35,36,37,32</t>
  </si>
  <si>
    <t>2,26,10,34</t>
  </si>
  <si>
    <t>28,26,10,34</t>
  </si>
  <si>
    <t>35,26,28,10</t>
  </si>
  <si>
    <t>2,6,28,26</t>
  </si>
  <si>
    <t>6,28,35,26</t>
  </si>
  <si>
    <t>3,6,5,26</t>
  </si>
  <si>
    <t>35,28,34,26</t>
  </si>
  <si>
    <t>1,13,32,19</t>
  </si>
  <si>
    <t>35,10,18,16</t>
  </si>
  <si>
    <t>10,13,28,29</t>
  </si>
  <si>
    <t>10,4,28,34</t>
  </si>
  <si>
    <t>14,13,17,28</t>
  </si>
  <si>
    <t>23,14,25,12</t>
  </si>
  <si>
    <t>17,14,13</t>
  </si>
  <si>
    <t>35,13,16</t>
  </si>
  <si>
    <t>28,13,15,19</t>
  </si>
  <si>
    <t>13,15,23</t>
  </si>
  <si>
    <t>17,26,34,10</t>
  </si>
  <si>
    <t>1,6,15,28</t>
  </si>
  <si>
    <t>10,26,35,28</t>
  </si>
  <si>
    <t>28,10,35,24</t>
  </si>
  <si>
    <t>10,24,35,14</t>
  </si>
  <si>
    <t>24,28,35,30</t>
  </si>
  <si>
    <t>35,13,18</t>
  </si>
  <si>
    <t>28,29,35,10</t>
  </si>
  <si>
    <t>6,28,11,1</t>
  </si>
  <si>
    <t>1,6,35,10</t>
  </si>
  <si>
    <t>28,29,28,10</t>
  </si>
  <si>
    <t>1,26,13</t>
  </si>
  <si>
    <t>35,10,28,16</t>
  </si>
  <si>
    <t>28,10,3,34</t>
  </si>
  <si>
    <t>35,28,10,25</t>
  </si>
  <si>
    <t>35,1,10,28</t>
  </si>
  <si>
    <t>12,28,35,26</t>
  </si>
  <si>
    <t>18,4,28,38</t>
  </si>
  <si>
    <t>30,7,14,26</t>
  </si>
  <si>
    <t>10,26,34,31</t>
  </si>
  <si>
    <t>10,35,17,7</t>
  </si>
  <si>
    <t>2,6,34,10</t>
  </si>
  <si>
    <t>35,37,10,2</t>
  </si>
  <si>
    <t>29,28,10,18</t>
  </si>
  <si>
    <t>10,14,35,37</t>
  </si>
  <si>
    <t>10,14,2</t>
  </si>
  <si>
    <t>35,17,14,19</t>
  </si>
  <si>
    <t>28,15,16,35</t>
  </si>
  <si>
    <t>5,12,35,26</t>
  </si>
  <si>
    <t>1,35,10,38</t>
  </si>
  <si>
    <t>28,35,34,4</t>
  </si>
  <si>
    <t>4,35,28,10</t>
  </si>
  <si>
    <t>28,2,10,25</t>
  </si>
  <si>
    <t>1,35,28,37</t>
  </si>
  <si>
    <t>35,28,2,10</t>
  </si>
  <si>
    <t>1,6,13,28</t>
  </si>
  <si>
    <t>Physical Contradiction — Separation Principles &amp; Inventive Principles</t>
  </si>
  <si>
    <t>Separate in TIME</t>
  </si>
  <si>
    <t>One solution at one time; the opposite at another time.</t>
  </si>
  <si>
    <t>#</t>
  </si>
  <si>
    <t>Principle</t>
  </si>
  <si>
    <t>How it resolves the physical contradiction</t>
  </si>
  <si>
    <t>Segmentation</t>
  </si>
  <si>
    <t>Divide object into independent parts that can behave differently at different times.</t>
  </si>
  <si>
    <t>Nested doll</t>
  </si>
  <si>
    <t>Place objects inside one another; unfold/collapse as needed over time.</t>
  </si>
  <si>
    <t>Prior counteraction</t>
  </si>
  <si>
    <t>Pre-stress components to compensate for future undesired changes.</t>
  </si>
  <si>
    <t>Prior action</t>
  </si>
  <si>
    <t>Perform required action in advance, or pre-arrange objects for convenient action.</t>
  </si>
  <si>
    <t>Cushion in advance</t>
  </si>
  <si>
    <t>Compensate for low reliability by preparing emergency means in advance.</t>
  </si>
  <si>
    <t>Dynamics</t>
  </si>
  <si>
    <t>Make object/environment automatically adapt at each stage of operation.</t>
  </si>
  <si>
    <t>Mechanical vibration</t>
  </si>
  <si>
    <t>Set object into oscillation; use piezoelectric, ultrasonic or resonance effects.</t>
  </si>
  <si>
    <t>Periodic action</t>
  </si>
  <si>
    <t>Replace continuous action with periodic (impulse) action; use pulses to optimize.</t>
  </si>
  <si>
    <t>Rushing through</t>
  </si>
  <si>
    <t>Conduct harmful/hazardous operations at very high speed to reduce exposure.</t>
  </si>
  <si>
    <t>Discarding &amp; recovering</t>
  </si>
  <si>
    <t>After completing function, discard or restore elements directly during operation.</t>
  </si>
  <si>
    <t>Separate in SPACE</t>
  </si>
  <si>
    <t>One solution in one place; the opposite solution in another place.</t>
  </si>
  <si>
    <t>Divide object into independent parts located in different spatial zones.</t>
  </si>
  <si>
    <t>Taking out</t>
  </si>
  <si>
    <t>Separate interfering part or property from object; extract only what is needed.</t>
  </si>
  <si>
    <t>Local quality</t>
  </si>
  <si>
    <t>Change object/environment from homogeneous to heterogeneous; vary properties by zone.</t>
  </si>
  <si>
    <t>Asymmetry</t>
  </si>
  <si>
    <t>Introduce asymmetry if object is symmetrical; use existing asymmetry to advantage.</t>
  </si>
  <si>
    <t>Place objects inside one another; contain multiple objects in the same location.</t>
  </si>
  <si>
    <t>The other way round</t>
  </si>
  <si>
    <t>Invert the action; make moving parts fixed and fixed parts movable.</t>
  </si>
  <si>
    <t>Spheroidality/Curvature</t>
  </si>
  <si>
    <t>Replace linear parts with curved; use spirals, helices, or spheres.</t>
  </si>
  <si>
    <t>Another dimension</t>
  </si>
  <si>
    <t>Move object into two- or three-dimensional space; use multi-layered arrangement.</t>
  </si>
  <si>
    <t>Intermediary</t>
  </si>
  <si>
    <t>Use an intermediate object to carry, transmit or buffer between two zones.</t>
  </si>
  <si>
    <t>Flexible membranes &amp; films</t>
  </si>
  <si>
    <t>Use flexible shells and thin films instead of rigid structures to separate zones.</t>
  </si>
  <si>
    <t>Separate on CONDITION</t>
  </si>
  <si>
    <t>Opposite solutions in the same place and time — one for each condition.</t>
  </si>
  <si>
    <t>Replace mechanical system</t>
  </si>
  <si>
    <t>Replace mechanical system with optical, acoustic, thermal or olfactory system.</t>
  </si>
  <si>
    <t>Pneumatics &amp; hydraulics</t>
  </si>
  <si>
    <t>Use gas or liquid parts instead of solid; inflatable, hydrostatic structures.</t>
  </si>
  <si>
    <t>Porous materials</t>
  </si>
  <si>
    <t>Make object porous; use porous insert; if porous, fill pores with useful substance.</t>
  </si>
  <si>
    <t>Colour changes</t>
  </si>
  <si>
    <t>Change colour of object or environment; change transparency; use luminescent traces.</t>
  </si>
  <si>
    <t>Parameter change</t>
  </si>
  <si>
    <t>Change physical state, concentration, flexibility, temperature, or other parameters.</t>
  </si>
  <si>
    <t>Phase transition</t>
  </si>
  <si>
    <t>Implement effects occurring during phase transitions (volume changes, heat absorption).</t>
  </si>
  <si>
    <t>Accelerated oxidation</t>
  </si>
  <si>
    <t>Replace ordinary air with enriched or pure oxygen; use ozone or ozonized oxygen.</t>
  </si>
  <si>
    <t>Inert atmosphere</t>
  </si>
  <si>
    <t>Replace normal environment with inert one; carry out processes in vacuum.</t>
  </si>
  <si>
    <t>Separate by SYSTEM</t>
  </si>
  <si>
    <t>Separate by scale — sub-system, super-system, or switch to another system.</t>
  </si>
  <si>
    <t>At sub-system level, divide components further into finer elements.</t>
  </si>
  <si>
    <t>Vary properties within sub-systems or between system and super-system.</t>
  </si>
  <si>
    <t>Merging</t>
  </si>
  <si>
    <t>Bring closer in space; assemble identical or related operations; merge in time.</t>
  </si>
  <si>
    <t>Universality</t>
  </si>
  <si>
    <t>Make part perform multiple functions; eliminate need for other parts.</t>
  </si>
  <si>
    <t>Anti-weight</t>
  </si>
  <si>
    <t>Compensate for weight by merging with another object that has lifting force.</t>
  </si>
  <si>
    <t>Invert the system or switch to the inverse/complementary system.</t>
  </si>
  <si>
    <t>Blessing in disguise</t>
  </si>
  <si>
    <t>Use harmful factors to obtain positive effects at super-system level.</t>
  </si>
  <si>
    <t>Self-service</t>
  </si>
  <si>
    <t>Make object serve itself; use waste resources, energy, or substances.</t>
  </si>
  <si>
    <t>Cheap short-living</t>
  </si>
  <si>
    <t>Replace expensive durable object with cheaper short-lived ones at sub-system level.</t>
  </si>
  <si>
    <t>Composite materials</t>
  </si>
  <si>
    <t>Transition from homogeneous to composite materials at sub-system level.</t>
  </si>
  <si>
    <t>Technical Contradiction — Common Parameter Pairs &amp; Recommended Principles</t>
  </si>
  <si>
    <t>Recommended TRIZ Principles</t>
  </si>
  <si>
    <t>Strength / Force</t>
  </si>
  <si>
    <t>Weight / Mass</t>
  </si>
  <si>
    <t>1, 8, 15, 40 — Segmentation, Anti-weight, Dynamics, Composites</t>
  </si>
  <si>
    <t>Speed</t>
  </si>
  <si>
    <t>Energy use</t>
  </si>
  <si>
    <t>10, 13, 28, 38 — Prior action, Other way round, Replace mech., Oxidation</t>
  </si>
  <si>
    <t>Reliability</t>
  </si>
  <si>
    <t>Complexity</t>
  </si>
  <si>
    <t>1, 11, 27, 35 — Segmentation, Cushion in advance, Cheap objects, Param. change</t>
  </si>
  <si>
    <t>Productivity / Throughput</t>
  </si>
  <si>
    <t>Device complexity</t>
  </si>
  <si>
    <t>5, 10, 15, 34 — Merging, Prior action, Dynamics, Discarding &amp; recovering</t>
  </si>
  <si>
    <t>Accuracy / Precision</t>
  </si>
  <si>
    <t>Time / Speed of operation</t>
  </si>
  <si>
    <t>10, 28, 32, 35 — Prior action, Replace mech., Colour changes, Param. change</t>
  </si>
  <si>
    <t>Thermal conductivity</t>
  </si>
  <si>
    <t>3, 15, 30, 40 — Local quality, Dynamics, Flexible membranes, Composites</t>
  </si>
  <si>
    <t>Adaptability</t>
  </si>
  <si>
    <t>Device stability</t>
  </si>
  <si>
    <t>1, 15, 29, 35 — Segmentation, Dynamics, Pneumatics, Param. change</t>
  </si>
  <si>
    <t>Manufacturability</t>
  </si>
  <si>
    <t>Accuracy</t>
  </si>
  <si>
    <t>Power / Energy</t>
  </si>
  <si>
    <t>Temperature</t>
  </si>
  <si>
    <t>12, 18, 28, 35 — Equipotentiality, Vibration, Replace mech., Param. change</t>
  </si>
  <si>
    <t>Volume / Capacity</t>
  </si>
  <si>
    <t>Weight</t>
  </si>
  <si>
    <t>1, 7, 17, 40 — Segmentation, Nested doll, Another dimension, Composites</t>
  </si>
  <si>
    <t>Strength</t>
  </si>
  <si>
    <t>Stress on object</t>
  </si>
  <si>
    <t>1, 8, 15, 35 — Segmentation, Anti-weight, Dynamics, Param. change</t>
  </si>
  <si>
    <t>CTE compatibility</t>
  </si>
  <si>
    <t>3, 5, 15, 40 — Local quality, Merging, Dynamics, Composites</t>
  </si>
  <si>
    <t>Surface quality</t>
  </si>
  <si>
    <t>Process time</t>
  </si>
  <si>
    <t>Durability / Reliability</t>
  </si>
  <si>
    <t>Ease of manufacture</t>
  </si>
  <si>
    <t>11, 27, 35, 40 — Cushion in advance, Cheap objects, Param. change, Composites</t>
  </si>
  <si>
    <t>Information density</t>
  </si>
  <si>
    <t>1, 5, 26, 33 — Segmentation, Merging, Copying, Homogeneity</t>
  </si>
  <si>
    <t>Note: For the full 39×39 Altshuller contradiction matrix, use the principle numbers above to look up full definitions in the Appendix sheet.</t>
  </si>
  <si>
    <t>Principle Scoring &amp; Prioritisation — Rate Your Shortlisted Principles</t>
  </si>
  <si>
    <t>Score each criterion 1–5 (1=Very low, 5=Very high). Priority Score auto-calculates as weighted total out of 20. Top principle shown at bottom.</t>
  </si>
  <si>
    <t>Principle name (auto)</t>
  </si>
  <si>
    <t>Feasibility
(1–5)</t>
  </si>
  <si>
    <t>Impact on
problem (1–5)</t>
  </si>
  <si>
    <t>Speed to
implement (1–5)</t>
  </si>
  <si>
    <t>Cost
(inverse, 1–5)</t>
  </si>
  <si>
    <t>Priority
score /20</t>
  </si>
  <si>
    <t>Notes / rationale</t>
  </si>
  <si>
    <t>Weights: Feasibility 30%  ·  Impact 35%  ·  Speed 20%  ·  Cost 15%   |   Score = weighted total × 4  (max 20.0)</t>
  </si>
  <si>
    <t>Top priority</t>
  </si>
  <si>
    <t>TRIZ Case Study Library — Real-World Solved Examples</t>
  </si>
  <si>
    <t>Industry</t>
  </si>
  <si>
    <t>Problem</t>
  </si>
  <si>
    <t>Contradiction</t>
  </si>
  <si>
    <t>Principles</t>
  </si>
  <si>
    <t>Solution applied</t>
  </si>
  <si>
    <t>Outcome</t>
  </si>
  <si>
    <t>Semiconductor</t>
  </si>
  <si>
    <t>CTE mismatch causing delamination in 3D stacked die packages</t>
  </si>
  <si>
    <t>Technical: thermal conductivity vs CTE compatibility</t>
  </si>
  <si>
    <t>3,15,35,40</t>
  </si>
  <si>
    <t>Graded CTE interlayer with nano-silver composites; viscoelastic MUF with Tg tuned to 85–100°C operating window</t>
  </si>
  <si>
    <t>Peak stress reduced ~30%; delamination eliminated in 1000-cycle thermal test</t>
  </si>
  <si>
    <t>Aerospace</t>
  </si>
  <si>
    <t>Wing must be strong for turbulence loads but light for fuel efficiency</t>
  </si>
  <si>
    <t>Technical: strength vs weight</t>
  </si>
  <si>
    <t>1,8,15,40</t>
  </si>
  <si>
    <t>CFRP with variable fibre orientation by load zone (local quality); hollow lattice spar (segmentation + nested doll)</t>
  </si>
  <si>
    <t>40–50% weight reduction vs aluminium; now standard in commercial aviation</t>
  </si>
  <si>
    <t>Automotive</t>
  </si>
  <si>
    <t>Engine: high power but low NOx emissions</t>
  </si>
  <si>
    <t>Physical: combustion temp must be high (efficiency) AND low (NOx reduction)</t>
  </si>
  <si>
    <t>10,35,36</t>
  </si>
  <si>
    <t>Cylinder deactivation at low load; exhaust gas recirculation; catalytic converter for residual emissions</t>
  </si>
  <si>
    <t>Euro 6 compliance achieved without significant power loss</t>
  </si>
  <si>
    <t>Medical devices</t>
  </si>
  <si>
    <t>Stent must be rigid enough to hold artery but flexible to navigate vessels</t>
  </si>
  <si>
    <t>Physical: stiffness must be high AND low simultaneously</t>
  </si>
  <si>
    <t>15,35,36,40</t>
  </si>
  <si>
    <t>Nitinol shape-memory alloy — flexible at insertion temperature, rigid at body temperature; composite flexible-rigid segments</t>
  </si>
  <si>
    <t>Navigates vessels &lt;3mm; deployed reliably; now standard in coronary stenting</t>
  </si>
  <si>
    <t>Consumer electronics</t>
  </si>
  <si>
    <t>Smartphone battery: longer life but remain thin and light</t>
  </si>
  <si>
    <t>Technical: energy capacity vs device volume</t>
  </si>
  <si>
    <t>5,7,17,35</t>
  </si>
  <si>
    <t>3D battery cell stacking; silicon anode material for higher energy density; cells merged into structural chassis</t>
  </si>
  <si>
    <t>Energy density improved 2× over 5 years; thickness maintained below 8mm</t>
  </si>
  <si>
    <t>Manufacturing</t>
  </si>
  <si>
    <t>Welding speed must be high but low heat input needed to avoid distortion</t>
  </si>
  <si>
    <t>Technical: productivity vs harmful side effects</t>
  </si>
  <si>
    <t>10,18,28,35</t>
  </si>
  <si>
    <t>Laser welding replacing arc (replace mechanical system); pulsed mode reduces heat (periodic action); friction stir for aluminium</t>
  </si>
  <si>
    <t>Distortion reduced &gt;80%; speed increased 3×; widely used in EV battery manufacturing</t>
  </si>
  <si>
    <t>Construction</t>
  </si>
  <si>
    <t>Concrete must resist tensile cracking but is weak in tension</t>
  </si>
  <si>
    <t>Physical: resist tension AND compression simultaneously</t>
  </si>
  <si>
    <t>9,10,40</t>
  </si>
  <si>
    <t>Pre-stressed post-tensioned concrete: steel tendons pre-loaded (prior counteraction); composite rebar reinforcement</t>
  </si>
  <si>
    <t>Enables long-span bridges; 20–30% material reduction vs conventional reinforced concrete</t>
  </si>
  <si>
    <t>Packaging</t>
  </si>
  <si>
    <t>Food packaging must seal firmly but open easily by consumers</t>
  </si>
  <si>
    <t>Physical: seal must be strong AND weak simultaneously</t>
  </si>
  <si>
    <t>1,15,28,35</t>
  </si>
  <si>
    <t>Easy-peel film with weak-bond layer at opening zone (local quality); hermetic seal retained on remaining perimeter; tear-notch (prior action)</t>
  </si>
  <si>
    <t>Peel force &lt;5N achieved while maintaining hermetic seal; widely adopted in food industry</t>
  </si>
  <si>
    <t>Oil and gas</t>
  </si>
  <si>
    <t>Drill bit must penetrate hard rock efficiently but not wear quickly</t>
  </si>
  <si>
    <t>Technical: cutting efficiency vs durability</t>
  </si>
  <si>
    <t>3,27,35,40</t>
  </si>
  <si>
    <t>PDC bits with composite diamond cutting elements; diamond layer on face only (local quality); replaceable cutter inserts</t>
  </si>
  <si>
    <t>Bit life extended 5–10×; penetration rate increased; dominant technology in oil and gas</t>
  </si>
  <si>
    <t>Software</t>
  </si>
  <si>
    <t>System must process data fast but store complete audit history</t>
  </si>
  <si>
    <t>Technical: speed vs loss of information</t>
  </si>
  <si>
    <t>1,5,15,26</t>
  </si>
  <si>
    <t>Event sourcing: separate current state (fast) from full event log; CQRS pattern; asynchronous log processing (dynamics)</t>
  </si>
  <si>
    <t>Query response &lt;10ms; full audit trail; adopted in banking and healthcare</t>
  </si>
  <si>
    <t>Textiles</t>
  </si>
  <si>
    <t>Protective workwear must resist flame but remain comfortable</t>
  </si>
  <si>
    <t>Physical: must insulate AND be breathable simultaneously</t>
  </si>
  <si>
    <t>3,30,35,40</t>
  </si>
  <si>
    <t>Outer layer: flame-resistant Nomex; inner layer: moisture-wicking mesh (local quality + flexible membranes); composite construction</t>
  </si>
  <si>
    <t>Arc flash protection 40 cal/cm²; moisture transmission 800g/m²/day; standard in electrical utilities</t>
  </si>
  <si>
    <t>Agriculture</t>
  </si>
  <si>
    <t>Pesticide must cover all plant surfaces but not contaminate groundwater</t>
  </si>
  <si>
    <t>Technical: substance coverage vs harmful side effects</t>
  </si>
  <si>
    <t>1,3,10,35</t>
  </si>
  <si>
    <t>Precision drone spraying on affected zones only (local quality); electrostatic nozzles (parameter change); timed at optimal absorption (prior action)</t>
  </si>
  <si>
    <t>Pesticide usage reduced 70–80%; run-off contamination reduced; yield maintained</t>
  </si>
  <si>
    <t>Problem History Log — Personal TRIZ Knowledge Base</t>
  </si>
  <si>
    <t>Log each TRIZ session here. To start a new problem: right-click the TRIZ Navigator tab → Move or Copy → tick Create a copy. Then record the outcome below. Statistics at the bottom auto-update.</t>
  </si>
  <si>
    <t>Date</t>
  </si>
  <si>
    <t>System / product</t>
  </si>
  <si>
    <t>Problem summary</t>
  </si>
  <si>
    <t>Separation / matrix path</t>
  </si>
  <si>
    <t>Principles used</t>
  </si>
  <si>
    <t>Innovation level</t>
  </si>
  <si>
    <t>Solution chosen</t>
  </si>
  <si>
    <t>2024</t>
  </si>
  <si>
    <t>HBM stack — 3D IC package</t>
  </si>
  <si>
    <t>CTE mismatch and thermal dissipation in stacked dies</t>
  </si>
  <si>
    <t>Physical Contradiction</t>
  </si>
  <si>
    <t>Separate on Condition / Separate in Time</t>
  </si>
  <si>
    <t>15, 35, 5, 3</t>
  </si>
  <si>
    <t>A2: Viscoelastic MUF with Tg 85–100°C; A1: Graded CTE interlayer</t>
  </si>
  <si>
    <t>In progress</t>
  </si>
  <si>
    <t>Session statistics (auto-calculated)</t>
  </si>
  <si>
    <t>Total sessions logged</t>
  </si>
  <si>
    <t>Technical contradictions</t>
  </si>
  <si>
    <t>Physical contradictions</t>
  </si>
  <si>
    <t>Level 3–5 solutions</t>
  </si>
  <si>
    <t>Implemented solutions</t>
  </si>
  <si>
    <t>TRIZ — 40 Inventive Principles: Definitions &amp; Examples</t>
  </si>
  <si>
    <t>Definition</t>
  </si>
  <si>
    <t>Engineering / tech example</t>
  </si>
  <si>
    <t>Cross-industry / everyday example</t>
  </si>
  <si>
    <t>Divide an object into independent parts; make it sectional; increase the degree of fragmentation.</t>
  </si>
  <si>
    <t>Modular aircraft fuselage sections allow independent manufacture and assembly; segmented turbine blades.</t>
  </si>
  <si>
    <t>Modular furniture (IKEA flat-pack); segmented chocolate bar; sectional sofa.</t>
  </si>
  <si>
    <t>Separate an interfering part or property from an object, or extract only the necessary part or property.</t>
  </si>
  <si>
    <t>Extract only the necessary signal from noise in sensor design; remove heat source from sensitive electronics.</t>
  </si>
  <si>
    <t>Juicer separates juice from pulp; noise-cancelling headphones extract signal from ambient noise.</t>
  </si>
  <si>
    <t>Transition from homogeneous to heterogeneous structure; make each part function in optimal conditions; make each part fulfil a different and useful function.</t>
  </si>
  <si>
    <t>Graded CTE interlayer in semiconductor packaging; variable-density foam in automotive seating.</t>
  </si>
  <si>
    <t>Pencil with eraser at one end; Swiss Army knife; bifocal lens with different zones.</t>
  </si>
  <si>
    <t>Change the shape from symmetrical to asymmetrical; if already asymmetrical, increase the degree of asymmetry.</t>
  </si>
  <si>
    <t>Asymmetric turbine blade profiles for improved aerodynamics; non-symmetric connector shapes to prevent mis-insertion.</t>
  </si>
  <si>
    <t>Ergonomic mouse designed for the right hand; asymmetric tyre tread for wet vs dry grip.</t>
  </si>
  <si>
    <t>Bring closer in space or time objects or operations; assemble identical or similar parts; increase degree of unity.</t>
  </si>
  <si>
    <t>System-on-chip (SoC) merging CPU, GPU, memory controller; co-packaging of logic and HBM on the same interposer.</t>
  </si>
  <si>
    <t>Smartphone merging phone, camera, GPS, music player; combined shampoo-conditioner.</t>
  </si>
  <si>
    <t>Make a part or object perform multiple functions, eliminating the need for other parts.</t>
  </si>
  <si>
    <t>Universal testing machine performing tensile, compression, and shear tests; multimeter measuring voltage, current, resistance.</t>
  </si>
  <si>
    <t>Sofa bed; Swiss Army knife; mobile phone replacing camera, compass, calculator.</t>
  </si>
  <si>
    <t>Place one object inside another; pass one object through a cavity in another; increase the number of nesting levels.</t>
  </si>
  <si>
    <t>Telescoping antenna; retractable landing gear; nested heat exchangers.</t>
  </si>
  <si>
    <t>Russian matryoshka dolls; retractable ballpoint pen; collapsible measuring cup.</t>
  </si>
  <si>
    <t>Compensate for the weight of an object by merging it with another object that provides a lifting force.</t>
  </si>
  <si>
    <t>Counterweighted robotic arm reducing motor torque requirements; buoyancy-compensated underwater vehicle.</t>
  </si>
  <si>
    <t>Counterweight on a crane; helium balloon offsetting payload weight.</t>
  </si>
  <si>
    <t>Pre-stress a component to compensate for undesirable working stress; if known in advance that an object will experience harmful tension, apply anti-tension beforehand.</t>
  </si>
  <si>
    <t>Pre-stressed concrete beams; pre-tensioned springs in mechanisms; pre-compressed seals.</t>
  </si>
  <si>
    <t>Compression stockings preventing swelling on long flights; pre-soaking wood before bending.</t>
  </si>
  <si>
    <t>Perform required changes to an object completely or partially in advance; pre-arrange objects so they can come into action without wasting time and from the most convenient position.</t>
  </si>
  <si>
    <t>Pre-applied adhesive on PCB pads; pre-loaded spring mechanisms; prefabricated construction modules.</t>
  </si>
  <si>
    <t>Pre-cut vegetables sold in supermarkets; coffee machine with timer; mise en place in cooking.</t>
  </si>
  <si>
    <t>Compensate for the relatively low reliability of an object by preparing emergency means in advance.</t>
  </si>
  <si>
    <t>Redundant data storage (RAID); backup power supply (UPS); safety factor in structural design.</t>
  </si>
  <si>
    <t>Car spare tyre; airplane supplemental oxygen masks; emergency exit routes.</t>
  </si>
  <si>
    <t>Equipotentiality</t>
  </si>
  <si>
    <t>Change the operating conditions so that an object need not be raised or lowered.</t>
  </si>
  <si>
    <t>Pit stop design allowing cars to drive over mechanics without lifting; flush-mounted connectors.</t>
  </si>
  <si>
    <t>Canal locks equalising water levels; loading dock at truck-bed height eliminating forklifts.</t>
  </si>
  <si>
    <t>Invert the action used to solve the problem; make movable parts fixed and fixed parts movable; turn object upside down.</t>
  </si>
  <si>
    <t>Inverted microscope illuminating from above specimen; fixed wing with moving slats/flaps.</t>
  </si>
  <si>
    <t>Treadmill: person stays still, floor moves; revolving restaurant; self-checkout replacing cashier motion.</t>
  </si>
  <si>
    <t>Spheroidality / Curvature</t>
  </si>
  <si>
    <t>Move from flat surfaces to spherical ones; from linear to curvilinear; use rollers, balls, spirals, domes.</t>
  </si>
  <si>
    <t>Ball-grid array (BGA) solder joints; curved heat exchanger surfaces; helical gear reducing vibration.</t>
  </si>
  <si>
    <t>Ball bearings; arch bridge; dome stadium roof; spiral staircase.</t>
  </si>
  <si>
    <t>Make the characteristics of an object, process, or environment adjustable or optimal at each stage; divide into parts capable of moving relative to each other; if an object or process is rigid, make it flexible or adaptive.</t>
  </si>
  <si>
    <t>Adaptive cruise control; dynamic underfill modulus changing with temperature; variable-stiffness suspension.</t>
  </si>
  <si>
    <t>Adjustable office chair; flex-straw; shape-memory alloy actuator; variable focal-length lens.</t>
  </si>
  <si>
    <t>Partial or excessive action</t>
  </si>
  <si>
    <t>If 100% of a desired effect is hard to achieve, get slightly more or slightly less to simplify the problem.</t>
  </si>
  <si>
    <t>Overspray then trim in coating processes; rough machining to near-net shape then finish grind.</t>
  </si>
  <si>
    <t>Paint roller applying slightly excess paint then smoothed; pouring slightly too much flour then levelling.</t>
  </si>
  <si>
    <t>Move into a two- or three-dimensional space; use multi-layered arrangement; tilt or reorient the object.</t>
  </si>
  <si>
    <t>3D IC stacking dies vertically; multi-layer PCB routing; helical spring storing energy in 3D.</t>
  </si>
  <si>
    <t>Multi-storey car park; bunk beds; spiral ramp in a parking garage.</t>
  </si>
  <si>
    <t>Cause an object to oscillate or vibrate; if oscillation exists, increase its frequency to ultrasonic; use resonance; combine ultrasonic vibration with piezoelectric effect.</t>
  </si>
  <si>
    <t>Ultrasonic welding of plastics; vibration-assisted drilling reducing cutting force; ultrasonic cleaning.</t>
  </si>
  <si>
    <t>Electric toothbrush; concrete vibrator removing air bubbles; vibrating sieve grading particles.</t>
  </si>
  <si>
    <t>Replace a continuous action with a periodic (impulse) one; if action is already periodic, change its frequency; use pauses between impulses to provide additional action.</t>
  </si>
  <si>
    <t>Pulsed laser cutting; intermittent windscreen wipers; pulse-width modulation in motor control.</t>
  </si>
  <si>
    <t>Flashing indicator light vs steady light; interval training in exercise; drip irrigation vs flooding.</t>
  </si>
  <si>
    <t>Continuity of useful action</t>
  </si>
  <si>
    <t>Carry on work continuously; make all parts of an object work at full load all the time; eliminate idle and intermediate motions.</t>
  </si>
  <si>
    <t>Continuous casting in steel manufacture; continuous flow chemistry reactors; CNC machining with no tool changes.</t>
  </si>
  <si>
    <t>Conveyor belt vs batch transport; 24-hour service; always-on SSD vs spinning hard disk.</t>
  </si>
  <si>
    <t>Conduct a harmful or hazardous operation at very high speed.</t>
  </si>
  <si>
    <t>High-speed drilling through heat-sensitive composites minimising thermal damage; flash annealing.</t>
  </si>
  <si>
    <t>Ripping off a plaster quickly; high-speed dental drill minimising pain; sprint through cold water.</t>
  </si>
  <si>
    <t>Use harmful factors to obtain positive effect; eliminate a harmful factor by combining it with another harmful factor; amplify a harmful factor to the point it ceases to be harmful.</t>
  </si>
  <si>
    <t>Using waste heat from data centres for district heating; using vibration energy harvesting.</t>
  </si>
  <si>
    <t>Judo using opponent's force against them; compost from kitchen waste; noise-cancelling using destructive interference.</t>
  </si>
  <si>
    <t>Feedback</t>
  </si>
  <si>
    <t>Introduce feedback; if feedback already exists, change its magnitude or influence.</t>
  </si>
  <si>
    <t>Closed-loop temperature control in semiconductor furnaces; PID controller; ABS braking feedback.</t>
  </si>
  <si>
    <t>Thermostat; cruise control; autocorrect on smartphones; biofeedback wearables.</t>
  </si>
  <si>
    <t>Use an intermediate object to carry, transmit, or buffer between components; use a disposable or inexpensive intermediate object.</t>
  </si>
  <si>
    <t>Thermal interface material between die and heat sink; flux as intermediary in soldering.</t>
  </si>
  <si>
    <t>Oven mitts; straw; translator between two parties; buffer zone between countries.</t>
  </si>
  <si>
    <t>Make an object serve itself by performing auxiliary and repair functions; use waste resources, energy, or substances.</t>
  </si>
  <si>
    <t>Self-cleaning optical surface using photocatalytic coating; self-lubricating bearing; self-healing polymer.</t>
  </si>
  <si>
    <t>Self-cleaning oven; self-watering plant pot; solar-powered garden light.</t>
  </si>
  <si>
    <t>Copying</t>
  </si>
  <si>
    <t>Use simpler, inexpensive copies instead of expensive or fragile originals; replace visual copies with optical; use infrared or ultraviolet copies.</t>
  </si>
  <si>
    <t>Digital twin simulation instead of physical prototype; X-ray inspection replacing destructive testing.</t>
  </si>
  <si>
    <t>Map instead of visiting territory; crash test dummy; video call instead of travel; mannequin.</t>
  </si>
  <si>
    <t>Cheap short-living objects</t>
  </si>
  <si>
    <t>Replace an expensive durable object with a collection of inexpensive objects, compromising certain qualities (such as service life).</t>
  </si>
  <si>
    <t>Disposable tooling inserts in machining; single-use microfluidic chips; throwaway test PCBs.</t>
  </si>
  <si>
    <t>Paper cups instead of washing glasses; disposable syringe; single-use camera; paper plate.</t>
  </si>
  <si>
    <t>Replace a mechanical system with an optical, acoustic, thermal, or olfactory system.</t>
  </si>
  <si>
    <t>Laser alignment replacing mechanical jigs; optical fibre replacing copper wire; thermal imaging for inspection.</t>
  </si>
  <si>
    <t>Electronic key fob replacing metal key; voice command replacing physical button; GPS replacing paper map.</t>
  </si>
  <si>
    <t>Use gas or liquid parts of an object instead of solid parts; use air, water, gas or foam.</t>
  </si>
  <si>
    <t>Pneumatic actuators in assembly robots; hydraulic forming of metal sheets; inflatable deployable structures.</t>
  </si>
  <si>
    <t>Air mattress; hydraulic car jack; inflatable boat; pneumatic post system.</t>
  </si>
  <si>
    <t>Flexible membranes &amp; thin films</t>
  </si>
  <si>
    <t>Use flexible shells and thin films instead of three-dimensional structures; isolate the object from the environment using flexible shells and thin films.</t>
  </si>
  <si>
    <t>Thin-film transistors; flexible PCBs in wearables; dielectric films in capacitors.</t>
  </si>
  <si>
    <t>Cling film for food storage; bubble wrap; wetsuit; inflatable greenhouse tunnel.</t>
  </si>
  <si>
    <t>Make an object porous or use supplementary porous elements; if already porous, use the pores to introduce a useful substance or function.</t>
  </si>
  <si>
    <t>Porous silicon for MEMS sensors; sintered porous metal bearings self-lubricating with stored oil.</t>
  </si>
  <si>
    <t>Sponge; bread rising with CO2 bubbles; activated charcoal filter; memory foam.</t>
  </si>
  <si>
    <t>Change the colour of an object or its environment; change the transparency of an object; use colour additives to observe otherwise invisible processes.</t>
  </si>
  <si>
    <t>Thermochromic ink for temperature indication on packaging; UV-sensitive material for alignment.</t>
  </si>
  <si>
    <t>Mood ring; litmus paper; chameleon camouflage; traffic light; sunburn indicator sticker.</t>
  </si>
  <si>
    <t>Homogeneity</t>
  </si>
  <si>
    <t>Make objects interacting with a given object of the same material (or material with identical properties).</t>
  </si>
  <si>
    <t>Ice tools in cryogenic processes to avoid contamination; silicon tooling for silicon wafer handling.</t>
  </si>
  <si>
    <t>Ice tray made of ice for keeping drinks cold; same-material welding rod; wooden spoon in wooden bowl.</t>
  </si>
  <si>
    <t>Make portions of an object that have fulfilled their functions disappear or modify directly during operation; restore consumable parts of an object directly in operation.</t>
  </si>
  <si>
    <t>Soluble sacrificial layer in MEMS fabrication; biodegradable packaging; self-erasing security labels.</t>
  </si>
  <si>
    <t>Dissolving stitches in surgery; ice sculpture melting after event; edible food packaging.</t>
  </si>
  <si>
    <t>Change an object's physical state; change the concentration or consistency; change the degree of flexibility; change the temperature or volume.</t>
  </si>
  <si>
    <t>Changing MUF modulus by tuning Tg; phase-change thermal interface materials; shape-memory alloys.</t>
  </si>
  <si>
    <t>Flat-pack furniture assembled at destination; concentrated juice diluted at home; deflating a tyre for beach driving.</t>
  </si>
  <si>
    <t>Implement effects occurring during phase transitions (e.g. volume changes, heat absorption or liberation).</t>
  </si>
  <si>
    <t>Phase-change materials (PCM) storing thermal energy; vapour chamber heat spreaders using liquid-vapour cycle.</t>
  </si>
  <si>
    <t>Ice pack cooling via melting; heat pipe; steam engine; dry ice sublimation for cooling.</t>
  </si>
  <si>
    <t>Thermal expansion</t>
  </si>
  <si>
    <t>Use thermal expansion or contraction of materials; use materials with different coefficients of thermal expansion.</t>
  </si>
  <si>
    <t>Bimetallic strip thermostat; shrink-fit assembly of gears on shafts; CTE-matched substrates.</t>
  </si>
  <si>
    <t>Expansion joints in bridges and rail tracks; jar lid loosened by heating; glass jar opened under warm water.</t>
  </si>
  <si>
    <t>Replace ordinary air with oxygen-enriched air; replace enriched air with pure oxygen; use ionised oxygen or ozone; replace ozonised oxygen with ozone.</t>
  </si>
  <si>
    <t>Oxygen-enriched combustion in furnaces for higher temperatures; ozone treatment for sterilisation.</t>
  </si>
  <si>
    <t>Oxygen bar; accelerated ageing test using ozone; pure oxygen in diving rebreathers.</t>
  </si>
  <si>
    <t>Replace a normal environment with an inert one; carry out the process in a vacuum.</t>
  </si>
  <si>
    <t>Nitrogen-purged soldering reflow ovens preventing oxidation; vacuum deposition of thin films.</t>
  </si>
  <si>
    <t>Vacuum-sealed food packaging; inert gas wine preservation; argon-filled double-glazing.</t>
  </si>
  <si>
    <t>Transition from homogeneous to composite (multiple) materials.</t>
  </si>
  <si>
    <t>Carbon-fibre reinforced polymer (CFRP) structures; metal-matrix composites; EMC mold with embedded Cu HRL.</t>
  </si>
  <si>
    <t>Reinforced concrete (steel + concrete); plywood; Gore-Tex fabric; fibre-optic cable.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</si>
</sst>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b/>
      <sz val="10"/>
      <color rgb="FF1A5276"/>
      <name val="Arial"/>
      <charset val="1"/>
    </font>
    <font>
      <sz val="10"/>
      <color rgb="FF000000"/>
      <name val="Arial"/>
      <charset val="1"/>
    </font>
    <font>
      <b/>
      <sz val="11"/>
      <color rgb="FFFFFFFF"/>
      <name val="Arial"/>
      <charset val="1"/>
    </font>
    <font>
      <b/>
      <sz val="16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1A1A1A"/>
      <name val="Arial"/>
      <charset val="1"/>
    </font>
    <font>
      <b/>
      <sz val="10"/>
      <color rgb="FFFFFFFF"/>
      <name val="Arial"/>
      <charset val="1"/>
    </font>
    <font>
      <b/>
      <sz val="10"/>
      <color rgb="FF6C3483"/>
      <name val="Arial"/>
      <charset val="1"/>
    </font>
    <font>
      <b/>
      <sz val="10"/>
      <color rgb="FF2C3E50"/>
      <name val="Arial"/>
      <charset val="1"/>
    </font>
    <font>
      <i/>
      <sz val="9"/>
      <color rgb="FF1A5276"/>
      <name val="Arial"/>
      <charset val="1"/>
    </font>
    <font>
      <sz val="10"/>
      <color rgb="FF1A5276"/>
      <name val="Arial"/>
      <charset val="1"/>
    </font>
    <font>
      <i/>
      <sz val="9"/>
      <color rgb="FF000000"/>
      <name val="Arial"/>
      <charset val="1"/>
    </font>
    <font>
      <i/>
      <sz val="9"/>
      <color rgb="FFF39C12"/>
      <name val="Arial"/>
      <charset val="1"/>
    </font>
    <font>
      <sz val="9"/>
      <color rgb="FF000000"/>
      <name val="Arial"/>
      <charset val="1"/>
    </font>
    <font>
      <b/>
      <sz val="10"/>
      <color rgb="FF1E8449"/>
      <name val="Arial"/>
      <charset val="1"/>
    </font>
    <font>
      <b/>
      <sz val="13"/>
      <color rgb="FFFFFFFF"/>
      <name val="Arial"/>
      <charset val="1"/>
    </font>
    <font>
      <i/>
      <sz val="9"/>
      <color rgb="FF2C3E50"/>
      <name val="Arial"/>
      <charset val="1"/>
    </font>
    <font>
      <b/>
      <sz val="7.5"/>
      <color rgb="FFFFFFFF"/>
      <name val="Arial"/>
      <charset val="1"/>
    </font>
    <font>
      <b/>
      <sz val="8"/>
      <color rgb="FFFFFFFF"/>
      <name val="Arial"/>
      <charset val="1"/>
    </font>
    <font>
      <sz val="7"/>
      <color rgb="FF888888"/>
      <name val="Arial"/>
      <charset val="1"/>
    </font>
    <font>
      <b/>
      <sz val="7"/>
      <color rgb="FF1A5276"/>
      <name val="Arial"/>
      <charset val="1"/>
    </font>
    <font>
      <sz val="7"/>
      <color rgb="FFCCCCCC"/>
      <name val="Arial"/>
      <charset val="1"/>
    </font>
    <font>
      <b/>
      <sz val="14"/>
      <color rgb="FFFFFFFF"/>
      <name val="Arial"/>
      <charset val="1"/>
    </font>
    <font>
      <b/>
      <sz val="12"/>
      <color rgb="FFFFFFFF"/>
      <name val="Arial"/>
      <charset val="1"/>
    </font>
    <font>
      <i/>
      <sz val="9"/>
      <color rgb="FF1E8449"/>
      <name val="Arial"/>
      <charset val="1"/>
    </font>
    <font>
      <b/>
      <sz val="9"/>
      <color rgb="FFFFFFFF"/>
      <name val="Arial"/>
      <charset val="1"/>
    </font>
    <font>
      <b/>
      <sz val="11"/>
      <color rgb="FF1E8449"/>
      <name val="Arial"/>
      <charset val="1"/>
    </font>
    <font>
      <b/>
      <sz val="9"/>
      <color rgb="FF000000"/>
      <name val="Arial"/>
      <charset val="1"/>
    </font>
    <font>
      <b/>
      <sz val="12"/>
      <color rgb="FF1A5276"/>
      <name val="Arial"/>
      <charset val="1"/>
    </font>
  </fonts>
  <fills count="27">
    <fill>
      <patternFill patternType="none"/>
    </fill>
    <fill>
      <patternFill patternType="gray125"/>
    </fill>
    <fill>
      <patternFill patternType="solid">
        <fgColor rgb="FF2C3E50"/>
        <bgColor rgb="FF154360"/>
      </patternFill>
    </fill>
    <fill>
      <patternFill patternType="solid">
        <fgColor rgb="FFD6EAF8"/>
        <bgColor rgb="FFD5F5E3"/>
      </patternFill>
    </fill>
    <fill>
      <patternFill patternType="solid">
        <fgColor rgb="FFFFFFFF"/>
        <bgColor rgb="FFFEF9E7"/>
      </patternFill>
    </fill>
    <fill>
      <patternFill patternType="solid">
        <fgColor rgb="FF1A5276"/>
        <bgColor rgb="FF154360"/>
      </patternFill>
    </fill>
    <fill>
      <patternFill patternType="solid">
        <fgColor rgb="FF2E86C1"/>
        <bgColor rgb="FF2980B9"/>
      </patternFill>
    </fill>
    <fill>
      <patternFill patternType="solid">
        <fgColor rgb="FF1E8449"/>
        <bgColor rgb="FF117A65"/>
      </patternFill>
    </fill>
    <fill>
      <patternFill patternType="solid">
        <fgColor rgb="FFC0392B"/>
        <bgColor rgb="FFAA4444"/>
      </patternFill>
    </fill>
    <fill>
      <patternFill patternType="solid">
        <fgColor rgb="FF6C3483"/>
        <bgColor rgb="FF7D3C98"/>
      </patternFill>
    </fill>
    <fill>
      <patternFill patternType="solid">
        <fgColor rgb="FFD5F5E3"/>
        <bgColor rgb="FFD6EAF8"/>
      </patternFill>
    </fill>
    <fill>
      <patternFill patternType="solid">
        <fgColor rgb="FFF2F3F4"/>
        <bgColor rgb="FFEBF5FB"/>
      </patternFill>
    </fill>
    <fill>
      <patternFill patternType="solid">
        <fgColor rgb="FFFADBD8"/>
        <bgColor rgb="FFE8DAEF"/>
      </patternFill>
    </fill>
    <fill>
      <patternFill patternType="solid">
        <fgColor rgb="FFE8DAEF"/>
        <bgColor rgb="FFDDDDDD"/>
      </patternFill>
    </fill>
    <fill>
      <patternFill patternType="solid">
        <fgColor rgb="FFF39C12"/>
        <bgColor rgb="FFE67E22"/>
      </patternFill>
    </fill>
    <fill>
      <patternFill patternType="solid">
        <fgColor rgb="FFFEF9E7"/>
        <bgColor rgb="FFF2F3F4"/>
      </patternFill>
    </fill>
    <fill>
      <patternFill patternType="solid">
        <fgColor rgb="FFEBF5FB"/>
        <bgColor rgb="FFF2F3F4"/>
      </patternFill>
    </fill>
    <fill>
      <patternFill patternType="solid">
        <fgColor rgb="FF2A9D2A"/>
        <bgColor rgb="FF27AE60"/>
      </patternFill>
    </fill>
    <fill>
      <patternFill patternType="solid">
        <fgColor rgb="FF4CAF50"/>
        <bgColor rgb="FF27AE60"/>
      </patternFill>
    </fill>
    <fill>
      <patternFill patternType="solid">
        <fgColor rgb="FF2471A3"/>
        <bgColor rgb="FF2980B9"/>
      </patternFill>
    </fill>
    <fill>
      <patternFill patternType="solid">
        <fgColor rgb="FF7D3C98"/>
        <bgColor rgb="FF6C3483"/>
      </patternFill>
    </fill>
    <fill>
      <patternFill patternType="solid">
        <fgColor rgb="FF2980B9"/>
        <bgColor rgb="FF2E86C1"/>
      </patternFill>
    </fill>
    <fill>
      <patternFill patternType="solid">
        <fgColor rgb="FF117A65"/>
        <bgColor rgb="FF1E8449"/>
      </patternFill>
    </fill>
    <fill>
      <patternFill patternType="solid">
        <fgColor rgb="FFE67E22"/>
        <bgColor rgb="FFF39C12"/>
      </patternFill>
    </fill>
    <fill>
      <patternFill patternType="solid">
        <fgColor rgb="FF154360"/>
        <bgColor rgb="FF1A5276"/>
      </patternFill>
    </fill>
    <fill>
      <patternFill patternType="solid">
        <fgColor rgb="FFFDEBD0"/>
        <bgColor rgb="FFFADBD8"/>
      </patternFill>
    </fill>
    <fill>
      <patternFill patternType="solid">
        <fgColor rgb="FF27AE60"/>
        <bgColor rgb="FF4CAF50"/>
      </patternFill>
    </fill>
  </fills>
  <borders count="1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2E86C1"/>
      </left>
      <right/>
      <top style="thin">
        <color rgb="FF2E86C1"/>
      </top>
      <bottom style="thin">
        <color rgb="FF2E86C1"/>
      </bottom>
      <diagonal/>
    </border>
    <border>
      <left style="thin">
        <color rgb="FF6C3483"/>
      </left>
      <right style="thin">
        <color rgb="FF6C3483"/>
      </right>
      <top style="thin">
        <color rgb="FF6C3483"/>
      </top>
      <bottom/>
      <diagonal/>
    </border>
    <border>
      <left style="thin">
        <color rgb="FF2E86C1"/>
      </left>
      <right style="thin">
        <color rgb="FF2E86C1"/>
      </right>
      <top style="thin">
        <color rgb="FF2E86C1"/>
      </top>
      <bottom/>
      <diagonal/>
    </border>
    <border>
      <left style="thin">
        <color rgb="FF6C3483"/>
      </left>
      <right style="thin">
        <color rgb="FF6C3483"/>
      </right>
      <top style="thin">
        <color rgb="FF6C3483"/>
      </top>
      <bottom style="thin">
        <color rgb="FF6C3483"/>
      </bottom>
      <diagonal/>
    </border>
    <border>
      <left style="thin">
        <color rgb="FFF39C12"/>
      </left>
      <right/>
      <top style="thin">
        <color rgb="FFF39C12"/>
      </top>
      <bottom style="thin">
        <color rgb="FFF39C12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1E8449"/>
      </left>
      <right style="thin">
        <color rgb="FF1E8449"/>
      </right>
      <top style="thin">
        <color rgb="FF1E8449"/>
      </top>
      <bottom style="thin">
        <color rgb="FF1E8449"/>
      </bottom>
      <diagonal/>
    </border>
    <border>
      <left style="thin">
        <color rgb="FFAA4444"/>
      </left>
      <right style="thin">
        <color rgb="FFAA4444"/>
      </right>
      <top style="thin">
        <color rgb="FFAA4444"/>
      </top>
      <bottom style="thin">
        <color rgb="FFAA4444"/>
      </bottom>
      <diagonal/>
    </border>
    <border>
      <left style="thin">
        <color rgb="FF448844"/>
      </left>
      <right style="thin">
        <color rgb="FF448844"/>
      </right>
      <top style="thin">
        <color rgb="FF448844"/>
      </top>
      <bottom style="thin">
        <color rgb="FF44884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2E86C1"/>
      </left>
      <right style="thin">
        <color rgb="FF2E86C1"/>
      </right>
      <top style="thin">
        <color rgb="FF2E86C1"/>
      </top>
      <bottom style="thin">
        <color rgb="FF2E86C1"/>
      </bottom>
      <diagonal/>
    </border>
    <border>
      <left style="thin">
        <color rgb="FF1A5276"/>
      </left>
      <right style="thin">
        <color rgb="FF1A5276"/>
      </right>
      <top style="thin">
        <color rgb="FF1A5276"/>
      </top>
      <bottom style="thin">
        <color rgb="FF1A5276"/>
      </bottom>
      <diagonal/>
    </border>
    <border>
      <left style="thin">
        <color rgb="FFE67E22"/>
      </left>
      <right style="thin">
        <color rgb="FFE67E22"/>
      </right>
      <top style="thin">
        <color rgb="FFE67E22"/>
      </top>
      <bottom style="thin">
        <color rgb="FFE67E22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4" fillId="5" borderId="2" xfId="0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/>
    </xf>
    <xf numFmtId="0" fontId="11" fillId="16" borderId="5" xfId="0" applyFont="1" applyFill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8" fillId="14" borderId="2" xfId="0" applyFont="1" applyFill="1" applyBorder="1" applyAlignment="1">
      <alignment horizontal="center" vertical="center"/>
    </xf>
    <xf numFmtId="0" fontId="9" fillId="13" borderId="4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left" vertical="center" wrapText="1"/>
    </xf>
    <xf numFmtId="0" fontId="3" fillId="11" borderId="2" xfId="0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horizontal="left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5" borderId="0" xfId="0" applyFill="1"/>
    <xf numFmtId="0" fontId="5" fillId="5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left" vertical="center" wrapText="1"/>
    </xf>
    <xf numFmtId="0" fontId="10" fillId="13" borderId="2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 wrapText="1"/>
    </xf>
    <xf numFmtId="0" fontId="13" fillId="11" borderId="1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8" fillId="17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8" fillId="19" borderId="1" xfId="0" applyFont="1" applyFill="1" applyBorder="1" applyAlignment="1">
      <alignment horizontal="center" vertical="center"/>
    </xf>
    <xf numFmtId="0" fontId="8" fillId="20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9" fillId="8" borderId="11" xfId="0" applyFont="1" applyFill="1" applyBorder="1" applyAlignment="1">
      <alignment horizontal="center" textRotation="90"/>
    </xf>
    <xf numFmtId="0" fontId="20" fillId="7" borderId="12" xfId="0" applyFont="1" applyFill="1" applyBorder="1" applyAlignment="1">
      <alignment horizontal="left" vertical="center"/>
    </xf>
    <xf numFmtId="0" fontId="21" fillId="2" borderId="13" xfId="0" applyFont="1" applyFill="1" applyBorder="1" applyAlignment="1">
      <alignment horizontal="center" vertical="center"/>
    </xf>
    <xf numFmtId="0" fontId="22" fillId="16" borderId="13" xfId="0" applyFont="1" applyFill="1" applyBorder="1" applyAlignment="1">
      <alignment horizontal="center" vertical="center"/>
    </xf>
    <xf numFmtId="0" fontId="23" fillId="11" borderId="13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15" fillId="12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left" vertical="center" wrapText="1"/>
    </xf>
    <xf numFmtId="0" fontId="15" fillId="16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 wrapText="1"/>
    </xf>
    <xf numFmtId="0" fontId="27" fillId="5" borderId="2" xfId="0" applyFont="1" applyFill="1" applyBorder="1" applyAlignment="1">
      <alignment horizontal="center" vertical="center" wrapText="1"/>
    </xf>
    <xf numFmtId="0" fontId="27" fillId="23" borderId="2" xfId="0" applyFont="1" applyFill="1" applyBorder="1" applyAlignment="1">
      <alignment horizontal="center" vertical="center" wrapText="1"/>
    </xf>
    <xf numFmtId="0" fontId="27" fillId="9" borderId="2" xfId="0" applyFont="1" applyFill="1" applyBorder="1" applyAlignment="1">
      <alignment horizontal="center" vertical="center" wrapText="1"/>
    </xf>
    <xf numFmtId="0" fontId="27" fillId="8" borderId="2" xfId="0" applyFont="1" applyFill="1" applyBorder="1" applyAlignment="1">
      <alignment horizontal="center" vertical="center" wrapText="1"/>
    </xf>
    <xf numFmtId="0" fontId="6" fillId="16" borderId="15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left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6" xfId="0" applyFont="1" applyFill="1" applyBorder="1" applyAlignment="1">
      <alignment horizontal="center" vertical="center"/>
    </xf>
    <xf numFmtId="0" fontId="3" fillId="11" borderId="17" xfId="0" applyFont="1" applyFill="1" applyBorder="1" applyAlignment="1">
      <alignment horizontal="center" vertical="center"/>
    </xf>
    <xf numFmtId="0" fontId="3" fillId="11" borderId="6" xfId="0" applyFont="1" applyFill="1" applyBorder="1" applyAlignment="1">
      <alignment horizontal="center" vertical="center"/>
    </xf>
    <xf numFmtId="0" fontId="27" fillId="5" borderId="8" xfId="0" applyFont="1" applyFill="1" applyBorder="1" applyAlignment="1">
      <alignment horizontal="center" vertical="center" wrapText="1"/>
    </xf>
    <xf numFmtId="0" fontId="27" fillId="24" borderId="8" xfId="0" applyFont="1" applyFill="1" applyBorder="1" applyAlignment="1">
      <alignment horizontal="center" vertical="center" wrapText="1"/>
    </xf>
    <xf numFmtId="0" fontId="27" fillId="23" borderId="8" xfId="0" applyFont="1" applyFill="1" applyBorder="1" applyAlignment="1">
      <alignment horizontal="center" vertical="center" wrapText="1"/>
    </xf>
    <xf numFmtId="0" fontId="15" fillId="25" borderId="1" xfId="0" applyFont="1" applyFill="1" applyBorder="1" applyAlignment="1">
      <alignment horizontal="left" vertical="center" wrapText="1"/>
    </xf>
    <xf numFmtId="0" fontId="27" fillId="8" borderId="8" xfId="0" applyFont="1" applyFill="1" applyBorder="1" applyAlignment="1">
      <alignment horizontal="center" vertical="center" wrapText="1"/>
    </xf>
    <xf numFmtId="0" fontId="27" fillId="9" borderId="8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left" vertical="center" wrapText="1"/>
    </xf>
    <xf numFmtId="0" fontId="27" fillId="7" borderId="8" xfId="0" applyFont="1" applyFill="1" applyBorder="1" applyAlignment="1">
      <alignment horizontal="center" vertical="center" wrapText="1"/>
    </xf>
    <xf numFmtId="0" fontId="27" fillId="2" borderId="8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left" vertical="center" wrapText="1"/>
    </xf>
    <xf numFmtId="0" fontId="27" fillId="14" borderId="8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left" vertical="center" wrapText="1"/>
    </xf>
    <xf numFmtId="0" fontId="27" fillId="6" borderId="8" xfId="0" applyFont="1" applyFill="1" applyBorder="1" applyAlignment="1">
      <alignment horizontal="center" vertical="center" wrapText="1"/>
    </xf>
    <xf numFmtId="0" fontId="27" fillId="26" borderId="8" xfId="0" applyFont="1" applyFill="1" applyBorder="1" applyAlignment="1">
      <alignment horizontal="center" vertical="center" wrapText="1"/>
    </xf>
    <xf numFmtId="0" fontId="27" fillId="2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14" fillId="15" borderId="7" xfId="0" applyFont="1" applyFill="1" applyBorder="1" applyAlignment="1">
      <alignment horizontal="left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8" fillId="14" borderId="8" xfId="0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left" vertical="center" wrapText="1"/>
    </xf>
    <xf numFmtId="0" fontId="16" fillId="10" borderId="1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/>
    </xf>
    <xf numFmtId="0" fontId="17" fillId="14" borderId="0" xfId="0" applyFont="1" applyFill="1" applyAlignment="1">
      <alignment horizontal="center" vertical="center"/>
    </xf>
    <xf numFmtId="0" fontId="18" fillId="15" borderId="0" xfId="0" applyFont="1" applyFill="1" applyAlignment="1">
      <alignment horizontal="left" vertical="center"/>
    </xf>
    <xf numFmtId="0" fontId="24" fillId="9" borderId="0" xfId="0" applyFont="1" applyFill="1" applyAlignment="1">
      <alignment horizontal="center" vertical="center"/>
    </xf>
    <xf numFmtId="0" fontId="25" fillId="6" borderId="9" xfId="0" applyFont="1" applyFill="1" applyBorder="1" applyAlignment="1">
      <alignment horizontal="left" vertical="center"/>
    </xf>
    <xf numFmtId="0" fontId="18" fillId="3" borderId="14" xfId="0" applyFont="1" applyFill="1" applyBorder="1" applyAlignment="1">
      <alignment horizontal="left" vertical="center" wrapText="1"/>
    </xf>
    <xf numFmtId="0" fontId="25" fillId="21" borderId="9" xfId="0" applyFont="1" applyFill="1" applyBorder="1" applyAlignment="1">
      <alignment horizontal="left" vertical="center"/>
    </xf>
    <xf numFmtId="0" fontId="25" fillId="8" borderId="9" xfId="0" applyFont="1" applyFill="1" applyBorder="1" applyAlignment="1">
      <alignment horizontal="left" vertical="center"/>
    </xf>
    <xf numFmtId="0" fontId="18" fillId="12" borderId="14" xfId="0" applyFont="1" applyFill="1" applyBorder="1" applyAlignment="1">
      <alignment horizontal="left" vertical="center" wrapText="1"/>
    </xf>
    <xf numFmtId="0" fontId="25" fillId="22" borderId="9" xfId="0" applyFont="1" applyFill="1" applyBorder="1" applyAlignment="1">
      <alignment horizontal="left" vertical="center"/>
    </xf>
    <xf numFmtId="0" fontId="18" fillId="10" borderId="14" xfId="0" applyFont="1" applyFill="1" applyBorder="1" applyAlignment="1">
      <alignment horizontal="left" vertical="center" wrapText="1"/>
    </xf>
    <xf numFmtId="0" fontId="24" fillId="14" borderId="0" xfId="0" applyFont="1" applyFill="1" applyAlignment="1">
      <alignment horizontal="center" vertical="center"/>
    </xf>
    <xf numFmtId="0" fontId="18" fillId="15" borderId="7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/>
    </xf>
    <xf numFmtId="0" fontId="26" fillId="10" borderId="0" xfId="0" applyFont="1" applyFill="1" applyAlignment="1">
      <alignment horizontal="left" vertical="center"/>
    </xf>
    <xf numFmtId="0" fontId="18" fillId="15" borderId="7" xfId="0" applyFont="1" applyFill="1" applyBorder="1" applyAlignment="1">
      <alignment horizontal="left" vertical="center"/>
    </xf>
    <xf numFmtId="0" fontId="28" fillId="10" borderId="10" xfId="0" applyFont="1" applyFill="1" applyBorder="1" applyAlignment="1">
      <alignment horizontal="left" vertical="center"/>
    </xf>
    <xf numFmtId="0" fontId="4" fillId="7" borderId="10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23" borderId="0" xfId="0" applyFont="1" applyFill="1" applyAlignment="1">
      <alignment horizontal="center" vertical="center"/>
    </xf>
    <xf numFmtId="0" fontId="18" fillId="25" borderId="0" xfId="0" applyFont="1" applyFill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/>
    </xf>
    <xf numFmtId="0" fontId="29" fillId="11" borderId="1" xfId="0" applyFont="1" applyFill="1" applyBorder="1" applyAlignment="1">
      <alignment horizontal="left" vertical="center"/>
    </xf>
    <xf numFmtId="0" fontId="30" fillId="16" borderId="15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9D2A"/>
      <rgbColor rgb="FF000080"/>
      <rgbColor rgb="FF448844"/>
      <rgbColor rgb="FF800080"/>
      <rgbColor rgb="FF117A65"/>
      <rgbColor rgb="FFCCCCCC"/>
      <rgbColor rgb="FF888888"/>
      <rgbColor rgb="FF9999FF"/>
      <rgbColor rgb="FFAA4444"/>
      <rgbColor rgb="FFFEF9E7"/>
      <rgbColor rgb="FFD6EAF8"/>
      <rgbColor rgb="FF660066"/>
      <rgbColor rgb="FFFF8080"/>
      <rgbColor rgb="FF2471A3"/>
      <rgbColor rgb="FFE8DAEF"/>
      <rgbColor rgb="FF000080"/>
      <rgbColor rgb="FFFF00FF"/>
      <rgbColor rgb="FFFFFF00"/>
      <rgbColor rgb="FF00FFFF"/>
      <rgbColor rgb="FF800080"/>
      <rgbColor rgb="FF800000"/>
      <rgbColor rgb="FF1E8449"/>
      <rgbColor rgb="FF0000FF"/>
      <rgbColor rgb="FF2E86C1"/>
      <rgbColor rgb="FFEBF5FB"/>
      <rgbColor rgb="FFD5F5E3"/>
      <rgbColor rgb="FFFDEBD0"/>
      <rgbColor rgb="FFDDDDDD"/>
      <rgbColor rgb="FFF2F3F4"/>
      <rgbColor rgb="FFCC99FF"/>
      <rgbColor rgb="FFFADBD8"/>
      <rgbColor rgb="FF2980B9"/>
      <rgbColor rgb="FF4CAF50"/>
      <rgbColor rgb="FF99CC00"/>
      <rgbColor rgb="FFFFCC00"/>
      <rgbColor rgb="FFF39C12"/>
      <rgbColor rgb="FFE67E22"/>
      <rgbColor rgb="FF6C3483"/>
      <rgbColor rgb="FFAAAAAA"/>
      <rgbColor rgb="FF154360"/>
      <rgbColor rgb="FF27AE60"/>
      <rgbColor rgb="FF003300"/>
      <rgbColor rgb="FF1A1A1A"/>
      <rgbColor rgb="FFC0392B"/>
      <rgbColor rgb="FF7D3C98"/>
      <rgbColor rgb="FF1A5276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AAAAA"/>
  </sheetPr>
  <dimension ref="B1:C38"/>
  <sheetViews>
    <sheetView showGridLines="0" tabSelected="1" zoomScaleNormal="100" workbookViewId="0"/>
  </sheetViews>
  <sheetFormatPr defaultColWidth="8.7109375" defaultRowHeight="15" x14ac:dyDescent="0.25"/>
  <cols>
    <col min="1" max="1" width="3" customWidth="1"/>
    <col min="2" max="2" width="18" customWidth="1"/>
    <col min="3" max="3" width="56" customWidth="1"/>
    <col min="4" max="4" width="3" customWidth="1"/>
  </cols>
  <sheetData>
    <row r="1" spans="2:3" ht="31.5" customHeight="1" x14ac:dyDescent="0.25">
      <c r="B1" s="102" t="s">
        <v>0</v>
      </c>
      <c r="C1" s="102"/>
    </row>
    <row r="2" spans="2:3" ht="6" customHeight="1" x14ac:dyDescent="0.25"/>
    <row r="3" spans="2:3" ht="36" customHeight="1" x14ac:dyDescent="0.25">
      <c r="B3" s="15" t="s">
        <v>1</v>
      </c>
      <c r="C3" s="16" t="s">
        <v>2</v>
      </c>
    </row>
    <row r="4" spans="2:3" ht="6" customHeight="1" x14ac:dyDescent="0.25"/>
    <row r="5" spans="2:3" ht="36" customHeight="1" x14ac:dyDescent="0.25">
      <c r="B5" s="15" t="s">
        <v>3</v>
      </c>
      <c r="C5" s="16" t="s">
        <v>4</v>
      </c>
    </row>
    <row r="6" spans="2:3" ht="6" customHeight="1" x14ac:dyDescent="0.25"/>
    <row r="7" spans="2:3" ht="36" customHeight="1" x14ac:dyDescent="0.25">
      <c r="B7" s="15" t="s">
        <v>5</v>
      </c>
      <c r="C7" s="16" t="s">
        <v>6</v>
      </c>
    </row>
    <row r="8" spans="2:3" ht="6" customHeight="1" x14ac:dyDescent="0.25"/>
    <row r="9" spans="2:3" ht="36" customHeight="1" x14ac:dyDescent="0.25">
      <c r="B9" s="15" t="s">
        <v>7</v>
      </c>
      <c r="C9" s="16" t="s">
        <v>8</v>
      </c>
    </row>
    <row r="10" spans="2:3" ht="6" customHeight="1" x14ac:dyDescent="0.25"/>
    <row r="11" spans="2:3" ht="36" customHeight="1" x14ac:dyDescent="0.25">
      <c r="B11" s="15" t="s">
        <v>9</v>
      </c>
      <c r="C11" s="16" t="s">
        <v>10</v>
      </c>
    </row>
    <row r="12" spans="2:3" ht="6" customHeight="1" x14ac:dyDescent="0.25"/>
    <row r="13" spans="2:3" ht="36" customHeight="1" x14ac:dyDescent="0.25">
      <c r="B13" s="15" t="s">
        <v>11</v>
      </c>
      <c r="C13" s="16" t="s">
        <v>12</v>
      </c>
    </row>
    <row r="14" spans="2:3" ht="6" customHeight="1" x14ac:dyDescent="0.25"/>
    <row r="15" spans="2:3" ht="36" customHeight="1" x14ac:dyDescent="0.25">
      <c r="B15" s="15" t="s">
        <v>13</v>
      </c>
      <c r="C15" s="16" t="s">
        <v>14</v>
      </c>
    </row>
    <row r="16" spans="2:3" ht="6" customHeight="1" x14ac:dyDescent="0.25"/>
    <row r="17" spans="2:3" ht="36" customHeight="1" x14ac:dyDescent="0.25">
      <c r="B17" s="15" t="s">
        <v>15</v>
      </c>
      <c r="C17" s="16" t="s">
        <v>16</v>
      </c>
    </row>
    <row r="18" spans="2:3" ht="6" customHeight="1" x14ac:dyDescent="0.25"/>
    <row r="19" spans="2:3" ht="36" customHeight="1" x14ac:dyDescent="0.25">
      <c r="B19" s="15" t="s">
        <v>17</v>
      </c>
      <c r="C19" s="16" t="s">
        <v>18</v>
      </c>
    </row>
    <row r="20" spans="2:3" ht="6" customHeight="1" x14ac:dyDescent="0.25"/>
    <row r="21" spans="2:3" ht="36" customHeight="1" x14ac:dyDescent="0.25">
      <c r="B21" s="15" t="s">
        <v>19</v>
      </c>
      <c r="C21" s="16" t="s">
        <v>20</v>
      </c>
    </row>
    <row r="22" spans="2:3" ht="6" customHeight="1" x14ac:dyDescent="0.25"/>
    <row r="23" spans="2:3" ht="36" customHeight="1" x14ac:dyDescent="0.25">
      <c r="B23" s="15" t="s">
        <v>21</v>
      </c>
      <c r="C23" s="16" t="s">
        <v>22</v>
      </c>
    </row>
    <row r="24" spans="2:3" ht="6" customHeight="1" x14ac:dyDescent="0.25"/>
    <row r="25" spans="2:3" ht="36" customHeight="1" x14ac:dyDescent="0.25">
      <c r="B25" s="15" t="s">
        <v>23</v>
      </c>
      <c r="C25" s="16" t="s">
        <v>24</v>
      </c>
    </row>
    <row r="26" spans="2:3" ht="6" customHeight="1" x14ac:dyDescent="0.25"/>
    <row r="27" spans="2:3" ht="36" customHeight="1" x14ac:dyDescent="0.25">
      <c r="B27" s="15" t="s">
        <v>25</v>
      </c>
      <c r="C27" s="16" t="s">
        <v>26</v>
      </c>
    </row>
    <row r="29" spans="2:3" ht="9.75" customHeight="1" x14ac:dyDescent="0.25"/>
    <row r="30" spans="2:3" ht="21.75" customHeight="1" x14ac:dyDescent="0.25">
      <c r="B30" s="103" t="s">
        <v>27</v>
      </c>
      <c r="C30" s="103"/>
    </row>
    <row r="31" spans="2:3" ht="6" customHeight="1" x14ac:dyDescent="0.25"/>
    <row r="32" spans="2:3" ht="42" customHeight="1" x14ac:dyDescent="0.25">
      <c r="B32" s="15" t="s">
        <v>28</v>
      </c>
      <c r="C32" s="16" t="s">
        <v>29</v>
      </c>
    </row>
    <row r="33" spans="2:3" ht="6" customHeight="1" x14ac:dyDescent="0.25"/>
    <row r="34" spans="2:3" ht="42" customHeight="1" x14ac:dyDescent="0.25">
      <c r="B34" s="15" t="s">
        <v>30</v>
      </c>
      <c r="C34" s="16" t="s">
        <v>31</v>
      </c>
    </row>
    <row r="35" spans="2:3" ht="6" customHeight="1" x14ac:dyDescent="0.25"/>
    <row r="36" spans="2:3" ht="42" customHeight="1" x14ac:dyDescent="0.25">
      <c r="B36" s="15" t="s">
        <v>32</v>
      </c>
      <c r="C36" s="16" t="s">
        <v>33</v>
      </c>
    </row>
    <row r="37" spans="2:3" ht="6" customHeight="1" x14ac:dyDescent="0.25"/>
    <row r="38" spans="2:3" ht="42" customHeight="1" x14ac:dyDescent="0.25">
      <c r="B38" s="15" t="s">
        <v>34</v>
      </c>
      <c r="C38" s="16" t="s">
        <v>35</v>
      </c>
    </row>
  </sheetData>
  <mergeCells count="2">
    <mergeCell ref="B1:C1"/>
    <mergeCell ref="B30:C3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5276"/>
  </sheetPr>
  <dimension ref="B1:E79"/>
  <sheetViews>
    <sheetView showGridLines="0"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x14ac:dyDescent="0.25"/>
  <cols>
    <col min="1" max="1" width="3" customWidth="1"/>
    <col min="2" max="2" width="26" customWidth="1"/>
    <col min="3" max="5" width="28" customWidth="1"/>
    <col min="6" max="6" width="3" customWidth="1"/>
  </cols>
  <sheetData>
    <row r="1" spans="2:5" ht="6" customHeight="1" x14ac:dyDescent="0.25"/>
    <row r="2" spans="2:5" ht="18" customHeight="1" x14ac:dyDescent="0.25">
      <c r="B2" s="14" t="s">
        <v>36</v>
      </c>
      <c r="C2" s="14"/>
      <c r="D2" s="14"/>
      <c r="E2" s="14"/>
    </row>
    <row r="3" spans="2:5" ht="6" customHeight="1" x14ac:dyDescent="0.25">
      <c r="B3" s="13"/>
      <c r="C3" s="13"/>
      <c r="D3" s="13"/>
      <c r="E3" s="13"/>
    </row>
    <row r="4" spans="2:5" ht="18" customHeight="1" x14ac:dyDescent="0.25">
      <c r="B4" s="12" t="s">
        <v>37</v>
      </c>
      <c r="C4" s="12"/>
      <c r="D4" s="12"/>
      <c r="E4" s="12"/>
    </row>
    <row r="5" spans="2:5" ht="36" customHeight="1" x14ac:dyDescent="0.25">
      <c r="B5" s="17" t="s">
        <v>38</v>
      </c>
      <c r="C5" s="11"/>
      <c r="D5" s="11"/>
      <c r="E5" s="11"/>
    </row>
    <row r="6" spans="2:5" ht="36" customHeight="1" x14ac:dyDescent="0.25">
      <c r="B6" s="17" t="s">
        <v>39</v>
      </c>
      <c r="C6" s="11"/>
      <c r="D6" s="11"/>
      <c r="E6" s="11"/>
    </row>
    <row r="7" spans="2:5" ht="36" customHeight="1" x14ac:dyDescent="0.25">
      <c r="B7" s="17" t="s">
        <v>40</v>
      </c>
      <c r="C7" s="11"/>
      <c r="D7" s="11"/>
      <c r="E7" s="11"/>
    </row>
    <row r="8" spans="2:5" ht="6" customHeight="1" x14ac:dyDescent="0.25"/>
    <row r="9" spans="2:5" ht="18" customHeight="1" x14ac:dyDescent="0.25">
      <c r="B9" s="12" t="s">
        <v>41</v>
      </c>
      <c r="C9" s="12"/>
      <c r="D9" s="12"/>
      <c r="E9" s="12"/>
    </row>
    <row r="10" spans="2:5" ht="18" customHeight="1" x14ac:dyDescent="0.25">
      <c r="B10" s="18" t="s">
        <v>42</v>
      </c>
      <c r="C10" s="19" t="s">
        <v>43</v>
      </c>
      <c r="D10" s="20" t="s">
        <v>44</v>
      </c>
      <c r="E10" s="21" t="s">
        <v>45</v>
      </c>
    </row>
    <row r="11" spans="2:5" ht="30" customHeight="1" x14ac:dyDescent="0.25">
      <c r="B11" s="10"/>
      <c r="C11" s="9"/>
      <c r="D11" s="8"/>
      <c r="E11" s="7" t="s">
        <v>46</v>
      </c>
    </row>
    <row r="12" spans="2:5" ht="30" customHeight="1" x14ac:dyDescent="0.25">
      <c r="B12" s="10"/>
      <c r="C12" s="10"/>
      <c r="D12" s="10"/>
      <c r="E12" s="7"/>
    </row>
    <row r="13" spans="2:5" ht="18" customHeight="1" x14ac:dyDescent="0.25"/>
    <row r="14" spans="2:5" ht="6" customHeight="1" x14ac:dyDescent="0.25"/>
    <row r="15" spans="2:5" ht="18" customHeight="1" x14ac:dyDescent="0.25">
      <c r="B15" s="6" t="s">
        <v>47</v>
      </c>
      <c r="C15" s="6"/>
      <c r="D15" s="6"/>
      <c r="E15" s="6"/>
    </row>
    <row r="16" spans="2:5" ht="18" customHeight="1" x14ac:dyDescent="0.25">
      <c r="B16" s="22" t="s">
        <v>48</v>
      </c>
      <c r="C16" s="23" t="s">
        <v>49</v>
      </c>
      <c r="D16" s="24" t="s">
        <v>50</v>
      </c>
      <c r="E16" s="25" t="s">
        <v>51</v>
      </c>
    </row>
    <row r="17" spans="2:5" ht="30" customHeight="1" x14ac:dyDescent="0.25">
      <c r="B17" s="5"/>
      <c r="C17" s="8"/>
      <c r="D17" s="9"/>
      <c r="E17" s="4" t="s">
        <v>52</v>
      </c>
    </row>
    <row r="18" spans="2:5" ht="30" customHeight="1" x14ac:dyDescent="0.25">
      <c r="B18" s="5"/>
      <c r="C18" s="5"/>
      <c r="D18" s="5"/>
      <c r="E18" s="4"/>
    </row>
    <row r="19" spans="2:5" ht="18" customHeight="1" x14ac:dyDescent="0.25"/>
    <row r="20" spans="2:5" ht="6" customHeight="1" x14ac:dyDescent="0.25"/>
    <row r="21" spans="2:5" ht="18" customHeight="1" x14ac:dyDescent="0.25">
      <c r="B21" s="3" t="s">
        <v>53</v>
      </c>
      <c r="C21" s="3"/>
      <c r="D21" s="3"/>
      <c r="E21" s="3"/>
    </row>
    <row r="22" spans="2:5" ht="18" customHeight="1" x14ac:dyDescent="0.25">
      <c r="B22" s="27" t="s">
        <v>54</v>
      </c>
      <c r="C22" s="27" t="s">
        <v>55</v>
      </c>
      <c r="D22" s="27" t="s">
        <v>56</v>
      </c>
      <c r="E22" s="21" t="s">
        <v>57</v>
      </c>
    </row>
    <row r="23" spans="2:5" ht="30" customHeight="1" x14ac:dyDescent="0.25">
      <c r="B23" s="2"/>
      <c r="C23" s="2"/>
      <c r="D23" s="2"/>
      <c r="E23" s="7" t="s">
        <v>58</v>
      </c>
    </row>
    <row r="24" spans="2:5" ht="30" customHeight="1" x14ac:dyDescent="0.25">
      <c r="B24" s="2"/>
      <c r="C24" s="2"/>
      <c r="D24" s="2"/>
      <c r="E24" s="7"/>
    </row>
    <row r="25" spans="2:5" ht="18" customHeight="1" x14ac:dyDescent="0.25"/>
    <row r="26" spans="2:5" ht="18" customHeight="1" x14ac:dyDescent="0.25"/>
    <row r="27" spans="2:5" ht="18" customHeight="1" x14ac:dyDescent="0.25"/>
    <row r="28" spans="2:5" ht="6" customHeight="1" x14ac:dyDescent="0.25"/>
    <row r="29" spans="2:5" ht="18" customHeight="1" x14ac:dyDescent="0.25">
      <c r="B29" s="1" t="s">
        <v>59</v>
      </c>
      <c r="C29" s="1"/>
      <c r="D29" s="1"/>
      <c r="E29" s="1"/>
    </row>
    <row r="30" spans="2:5" ht="18" customHeight="1" x14ac:dyDescent="0.25">
      <c r="B30" s="25" t="s">
        <v>60</v>
      </c>
      <c r="C30" s="25" t="s">
        <v>61</v>
      </c>
      <c r="D30" s="25" t="s">
        <v>62</v>
      </c>
      <c r="E30" s="28" t="s">
        <v>63</v>
      </c>
    </row>
    <row r="31" spans="2:5" ht="21.75" customHeight="1" x14ac:dyDescent="0.25">
      <c r="B31" s="29"/>
      <c r="C31" s="30"/>
      <c r="D31" s="31"/>
      <c r="E31" s="32" t="str">
        <f>IFERROR(VLOOKUP(B31,Appendix!$A:$B,2,0),"")</f>
        <v/>
      </c>
    </row>
    <row r="32" spans="2:5" ht="21.75" customHeight="1" x14ac:dyDescent="0.25">
      <c r="B32" s="29"/>
      <c r="C32" s="30"/>
      <c r="D32" s="31"/>
      <c r="E32" s="32" t="str">
        <f>IFERROR(VLOOKUP(B32,Appendix!$A:$B,2,0),"")</f>
        <v/>
      </c>
    </row>
    <row r="33" spans="2:5" ht="21.75" customHeight="1" x14ac:dyDescent="0.25">
      <c r="B33" s="29"/>
      <c r="C33" s="30"/>
      <c r="D33" s="31"/>
      <c r="E33" s="32" t="str">
        <f>IFERROR(VLOOKUP(B33,Appendix!$A:$B,2,0),"")</f>
        <v/>
      </c>
    </row>
    <row r="34" spans="2:5" ht="21.75" customHeight="1" x14ac:dyDescent="0.25">
      <c r="B34" s="29"/>
      <c r="C34" s="30"/>
      <c r="D34" s="31"/>
      <c r="E34" s="32" t="str">
        <f>IFERROR(VLOOKUP(B34,Appendix!$A:$B,2,0),"")</f>
        <v/>
      </c>
    </row>
    <row r="35" spans="2:5" ht="21.75" customHeight="1" x14ac:dyDescent="0.25">
      <c r="B35" s="29"/>
      <c r="C35" s="30"/>
      <c r="D35" s="31"/>
      <c r="E35" s="32" t="str">
        <f>IFERROR(VLOOKUP(B35,Appendix!$A:$B,2,0),"")</f>
        <v/>
      </c>
    </row>
    <row r="36" spans="2:5" ht="21.75" customHeight="1" x14ac:dyDescent="0.25">
      <c r="B36" s="29"/>
      <c r="C36" s="30"/>
      <c r="D36" s="31"/>
      <c r="E36" s="32" t="str">
        <f>IFERROR(VLOOKUP(B36,Appendix!$A:$B,2,0),"")</f>
        <v/>
      </c>
    </row>
    <row r="37" spans="2:5" ht="21.75" customHeight="1" x14ac:dyDescent="0.25">
      <c r="B37" s="29"/>
      <c r="C37" s="30"/>
      <c r="D37" s="31"/>
      <c r="E37" s="32" t="str">
        <f>IFERROR(VLOOKUP(B37,Appendix!$A:$B,2,0),"")</f>
        <v/>
      </c>
    </row>
    <row r="38" spans="2:5" ht="21.75" customHeight="1" x14ac:dyDescent="0.25">
      <c r="B38" s="29"/>
      <c r="C38" s="30"/>
      <c r="D38" s="31"/>
      <c r="E38" s="32" t="str">
        <f>IFERROR(VLOOKUP(B38,Appendix!$A:$B,2,0),"")</f>
        <v/>
      </c>
    </row>
    <row r="39" spans="2:5" ht="21.75" customHeight="1" x14ac:dyDescent="0.25">
      <c r="B39" s="96" t="s">
        <v>64</v>
      </c>
      <c r="C39" s="96"/>
      <c r="D39" s="96"/>
      <c r="E39" s="96"/>
    </row>
    <row r="40" spans="2:5" ht="18" customHeight="1" x14ac:dyDescent="0.25"/>
    <row r="41" spans="2:5" ht="18" customHeight="1" x14ac:dyDescent="0.25">
      <c r="B41" s="1" t="s">
        <v>65</v>
      </c>
      <c r="C41" s="1"/>
      <c r="D41" s="1"/>
      <c r="E41" s="1"/>
    </row>
    <row r="42" spans="2:5" ht="18" customHeight="1" x14ac:dyDescent="0.25">
      <c r="B42" s="19"/>
      <c r="C42" s="19" t="s">
        <v>66</v>
      </c>
      <c r="D42" s="33" t="s">
        <v>67</v>
      </c>
      <c r="E42" s="34" t="s">
        <v>68</v>
      </c>
    </row>
    <row r="43" spans="2:5" ht="27.75" customHeight="1" x14ac:dyDescent="0.25">
      <c r="B43" s="97" t="s">
        <v>69</v>
      </c>
      <c r="C43" s="35"/>
      <c r="D43" s="35"/>
      <c r="E43" s="35"/>
    </row>
    <row r="44" spans="2:5" ht="27.75" customHeight="1" x14ac:dyDescent="0.25">
      <c r="B44" s="97"/>
      <c r="C44" s="35"/>
      <c r="D44" s="35"/>
      <c r="E44" s="35"/>
    </row>
    <row r="45" spans="2:5" ht="27.75" customHeight="1" x14ac:dyDescent="0.25">
      <c r="B45" s="98" t="s">
        <v>70</v>
      </c>
      <c r="C45" s="36"/>
      <c r="D45" s="36"/>
      <c r="E45" s="36"/>
    </row>
    <row r="46" spans="2:5" ht="27.75" customHeight="1" x14ac:dyDescent="0.25">
      <c r="B46" s="98"/>
      <c r="C46" s="36"/>
      <c r="D46" s="36"/>
      <c r="E46" s="36"/>
    </row>
    <row r="47" spans="2:5" ht="27.75" customHeight="1" x14ac:dyDescent="0.25">
      <c r="B47" s="99" t="s">
        <v>71</v>
      </c>
      <c r="C47" s="26"/>
      <c r="D47" s="26"/>
      <c r="E47" s="26"/>
    </row>
    <row r="48" spans="2:5" ht="27.75" customHeight="1" x14ac:dyDescent="0.25">
      <c r="B48" s="99"/>
      <c r="C48" s="26"/>
      <c r="D48" s="26"/>
      <c r="E48" s="26"/>
    </row>
    <row r="49" spans="2:5" ht="18" customHeight="1" x14ac:dyDescent="0.25"/>
    <row r="50" spans="2:5" ht="18" customHeight="1" x14ac:dyDescent="0.25">
      <c r="B50" s="12" t="s">
        <v>72</v>
      </c>
      <c r="C50" s="12"/>
      <c r="D50" s="12"/>
      <c r="E50" s="12"/>
    </row>
    <row r="51" spans="2:5" ht="19.5" customHeight="1" x14ac:dyDescent="0.25">
      <c r="B51" s="37" t="s">
        <v>73</v>
      </c>
      <c r="C51" s="100" t="s">
        <v>74</v>
      </c>
      <c r="D51" s="100"/>
      <c r="E51" s="101" t="s">
        <v>75</v>
      </c>
    </row>
    <row r="52" spans="2:5" ht="19.5" customHeight="1" x14ac:dyDescent="0.25">
      <c r="B52" s="38" t="s">
        <v>75</v>
      </c>
      <c r="C52" s="100" t="s">
        <v>76</v>
      </c>
      <c r="D52" s="100"/>
      <c r="E52" s="101"/>
    </row>
    <row r="53" spans="2:5" ht="19.5" customHeight="1" x14ac:dyDescent="0.25">
      <c r="B53" s="39" t="s">
        <v>77</v>
      </c>
      <c r="C53" s="100" t="s">
        <v>78</v>
      </c>
      <c r="D53" s="100"/>
      <c r="E53" s="101"/>
    </row>
    <row r="54" spans="2:5" ht="19.5" customHeight="1" x14ac:dyDescent="0.25">
      <c r="B54" s="40" t="s">
        <v>79</v>
      </c>
      <c r="C54" s="100" t="s">
        <v>80</v>
      </c>
      <c r="D54" s="100"/>
      <c r="E54" s="101"/>
    </row>
    <row r="55" spans="2:5" ht="19.5" customHeight="1" x14ac:dyDescent="0.25">
      <c r="B55" s="41" t="s">
        <v>81</v>
      </c>
      <c r="C55" s="100" t="s">
        <v>82</v>
      </c>
      <c r="D55" s="100"/>
      <c r="E55" s="101"/>
    </row>
    <row r="56" spans="2:5" ht="18" customHeight="1" x14ac:dyDescent="0.25"/>
    <row r="57" spans="2:5" ht="18" customHeight="1" x14ac:dyDescent="0.25">
      <c r="B57" s="1" t="s">
        <v>83</v>
      </c>
      <c r="C57" s="1"/>
      <c r="D57" s="1"/>
      <c r="E57" s="1"/>
    </row>
    <row r="58" spans="2:5" ht="18" customHeight="1" x14ac:dyDescent="0.25">
      <c r="B58" s="25" t="s">
        <v>84</v>
      </c>
      <c r="C58" s="25" t="s">
        <v>85</v>
      </c>
      <c r="D58" s="25" t="s">
        <v>86</v>
      </c>
      <c r="E58" s="25" t="s">
        <v>87</v>
      </c>
    </row>
    <row r="59" spans="2:5" ht="21.75" customHeight="1" x14ac:dyDescent="0.25">
      <c r="B59" s="16"/>
      <c r="C59" s="30"/>
      <c r="D59" s="29"/>
      <c r="E59" s="42"/>
    </row>
    <row r="60" spans="2:5" ht="21.75" customHeight="1" x14ac:dyDescent="0.25">
      <c r="B60" s="16"/>
      <c r="C60" s="30"/>
      <c r="D60" s="29"/>
      <c r="E60" s="42"/>
    </row>
    <row r="61" spans="2:5" ht="21.75" customHeight="1" x14ac:dyDescent="0.25">
      <c r="B61" s="16"/>
      <c r="C61" s="30"/>
      <c r="D61" s="29"/>
      <c r="E61" s="42"/>
    </row>
    <row r="62" spans="2:5" ht="21.75" customHeight="1" x14ac:dyDescent="0.25">
      <c r="B62" s="16"/>
      <c r="C62" s="30"/>
      <c r="D62" s="29"/>
      <c r="E62" s="42"/>
    </row>
    <row r="63" spans="2:5" ht="21.75" customHeight="1" x14ac:dyDescent="0.25">
      <c r="B63" s="16"/>
      <c r="C63" s="30"/>
      <c r="D63" s="29"/>
      <c r="E63" s="42"/>
    </row>
    <row r="64" spans="2:5" ht="18" customHeight="1" x14ac:dyDescent="0.25"/>
    <row r="65" ht="18" customHeight="1" x14ac:dyDescent="0.25"/>
    <row r="66" ht="18" customHeight="1" x14ac:dyDescent="0.25"/>
    <row r="67" ht="18" customHeight="1" x14ac:dyDescent="0.25"/>
    <row r="68" ht="6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</sheetData>
  <mergeCells count="35">
    <mergeCell ref="B57:E57"/>
    <mergeCell ref="B47:B48"/>
    <mergeCell ref="B50:E50"/>
    <mergeCell ref="C51:D51"/>
    <mergeCell ref="E51:E55"/>
    <mergeCell ref="C52:D52"/>
    <mergeCell ref="C53:D53"/>
    <mergeCell ref="C54:D54"/>
    <mergeCell ref="C55:D55"/>
    <mergeCell ref="B29:E29"/>
    <mergeCell ref="B39:E39"/>
    <mergeCell ref="B41:E41"/>
    <mergeCell ref="B43:B44"/>
    <mergeCell ref="B45:B46"/>
    <mergeCell ref="B21:E21"/>
    <mergeCell ref="B23:B24"/>
    <mergeCell ref="C23:C24"/>
    <mergeCell ref="D23:D24"/>
    <mergeCell ref="E23:E24"/>
    <mergeCell ref="B15:E15"/>
    <mergeCell ref="B17:B18"/>
    <mergeCell ref="C17:C18"/>
    <mergeCell ref="D17:D18"/>
    <mergeCell ref="E17:E18"/>
    <mergeCell ref="C7:E7"/>
    <mergeCell ref="B9:E9"/>
    <mergeCell ref="B11:B12"/>
    <mergeCell ref="C11:C12"/>
    <mergeCell ref="D11:D12"/>
    <mergeCell ref="E11:E12"/>
    <mergeCell ref="B2:E2"/>
    <mergeCell ref="B3:E3"/>
    <mergeCell ref="B4:E4"/>
    <mergeCell ref="C5:E5"/>
    <mergeCell ref="C6:E6"/>
  </mergeCells>
  <dataValidations count="4">
    <dataValidation type="list" allowBlank="1" sqref="E11" xr:uid="{00000000-0002-0000-0100-000000000000}">
      <formula1>"Technical Contradiction,Physical Contradiction"</formula1>
      <formula2>0</formula2>
    </dataValidation>
    <dataValidation type="list" allowBlank="1" sqref="E23" xr:uid="{00000000-0002-0000-0100-000001000000}">
      <formula1>"Separate in Time,Separate in Space,Separate on Condition,Separate by System"</formula1>
      <formula2>0</formula2>
    </dataValidation>
    <dataValidation type="list" allowBlank="1" sqref="E51" xr:uid="{00000000-0002-0000-0100-000002000000}">
      <formula1>"Level 1,Level 2,Level 3,Level 4,Level 5"</formula1>
      <formula2>0</formula2>
    </dataValidation>
    <dataValidation type="list" allowBlank="1" sqref="E59:E63" xr:uid="{00000000-0002-0000-0100-000003000000}">
      <formula1>"Not started,In progress,Complete,Blocked"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39C12"/>
  </sheetPr>
  <dimension ref="B1:AO42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7109375" defaultRowHeight="15" x14ac:dyDescent="0.25"/>
  <cols>
    <col min="1" max="1" width="3" customWidth="1"/>
    <col min="2" max="2" width="22" customWidth="1"/>
    <col min="3" max="41" width="8" customWidth="1"/>
  </cols>
  <sheetData>
    <row r="1" spans="2:41" ht="27.75" customHeight="1" x14ac:dyDescent="0.25">
      <c r="B1" s="104" t="s">
        <v>88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</row>
    <row r="2" spans="2:41" ht="15.75" customHeight="1" x14ac:dyDescent="0.25">
      <c r="B2" s="105" t="s">
        <v>89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</row>
    <row r="3" spans="2:41" ht="99.75" customHeight="1" x14ac:dyDescent="0.25">
      <c r="C3" s="43" t="s">
        <v>90</v>
      </c>
      <c r="D3" s="43" t="s">
        <v>91</v>
      </c>
      <c r="E3" s="43" t="s">
        <v>92</v>
      </c>
      <c r="F3" s="43" t="s">
        <v>93</v>
      </c>
      <c r="G3" s="43" t="s">
        <v>94</v>
      </c>
      <c r="H3" s="43" t="s">
        <v>95</v>
      </c>
      <c r="I3" s="43" t="s">
        <v>96</v>
      </c>
      <c r="J3" s="43" t="s">
        <v>97</v>
      </c>
      <c r="K3" s="43" t="s">
        <v>98</v>
      </c>
      <c r="L3" s="43" t="s">
        <v>99</v>
      </c>
      <c r="M3" s="43" t="s">
        <v>100</v>
      </c>
      <c r="N3" s="43" t="s">
        <v>101</v>
      </c>
      <c r="O3" s="43" t="s">
        <v>102</v>
      </c>
      <c r="P3" s="43" t="s">
        <v>103</v>
      </c>
      <c r="Q3" s="43" t="s">
        <v>104</v>
      </c>
      <c r="R3" s="43" t="s">
        <v>105</v>
      </c>
      <c r="S3" s="43" t="s">
        <v>106</v>
      </c>
      <c r="T3" s="43" t="s">
        <v>107</v>
      </c>
      <c r="U3" s="43" t="s">
        <v>108</v>
      </c>
      <c r="V3" s="43" t="s">
        <v>109</v>
      </c>
      <c r="W3" s="43" t="s">
        <v>110</v>
      </c>
      <c r="X3" s="43" t="s">
        <v>111</v>
      </c>
      <c r="Y3" s="43" t="s">
        <v>112</v>
      </c>
      <c r="Z3" s="43" t="s">
        <v>113</v>
      </c>
      <c r="AA3" s="43" t="s">
        <v>114</v>
      </c>
      <c r="AB3" s="43" t="s">
        <v>115</v>
      </c>
      <c r="AC3" s="43" t="s">
        <v>116</v>
      </c>
      <c r="AD3" s="43" t="s">
        <v>117</v>
      </c>
      <c r="AE3" s="43" t="s">
        <v>118</v>
      </c>
      <c r="AF3" s="43" t="s">
        <v>119</v>
      </c>
      <c r="AG3" s="43" t="s">
        <v>120</v>
      </c>
      <c r="AH3" s="43" t="s">
        <v>121</v>
      </c>
      <c r="AI3" s="43" t="s">
        <v>122</v>
      </c>
      <c r="AJ3" s="43" t="s">
        <v>123</v>
      </c>
      <c r="AK3" s="43" t="s">
        <v>124</v>
      </c>
      <c r="AL3" s="43" t="s">
        <v>125</v>
      </c>
      <c r="AM3" s="43" t="s">
        <v>126</v>
      </c>
      <c r="AN3" s="43" t="s">
        <v>127</v>
      </c>
      <c r="AO3" s="43" t="s">
        <v>128</v>
      </c>
    </row>
    <row r="4" spans="2:41" ht="15.75" customHeight="1" x14ac:dyDescent="0.25">
      <c r="B4" s="44" t="s">
        <v>90</v>
      </c>
      <c r="C4" s="45" t="s">
        <v>129</v>
      </c>
      <c r="D4" s="46" t="s">
        <v>130</v>
      </c>
      <c r="E4" s="46" t="s">
        <v>131</v>
      </c>
      <c r="F4" s="47"/>
      <c r="G4" s="46" t="s">
        <v>132</v>
      </c>
      <c r="H4" s="47"/>
      <c r="I4" s="46" t="s">
        <v>133</v>
      </c>
      <c r="J4" s="47"/>
      <c r="K4" s="46" t="s">
        <v>134</v>
      </c>
      <c r="L4" s="46" t="s">
        <v>135</v>
      </c>
      <c r="M4" s="46" t="s">
        <v>136</v>
      </c>
      <c r="N4" s="46" t="s">
        <v>137</v>
      </c>
      <c r="O4" s="46" t="s">
        <v>138</v>
      </c>
      <c r="P4" s="46" t="s">
        <v>139</v>
      </c>
      <c r="Q4" s="46" t="s">
        <v>140</v>
      </c>
      <c r="R4" s="47"/>
      <c r="S4" s="46" t="s">
        <v>141</v>
      </c>
      <c r="T4" s="47"/>
      <c r="U4" s="46" t="s">
        <v>142</v>
      </c>
      <c r="V4" s="47"/>
      <c r="W4" s="46" t="s">
        <v>143</v>
      </c>
      <c r="X4" s="46" t="s">
        <v>144</v>
      </c>
      <c r="Y4" s="46" t="s">
        <v>145</v>
      </c>
      <c r="Z4" s="47"/>
      <c r="AA4" s="46" t="s">
        <v>146</v>
      </c>
      <c r="AB4" s="46" t="s">
        <v>147</v>
      </c>
      <c r="AC4" s="46" t="s">
        <v>148</v>
      </c>
      <c r="AD4" s="46" t="s">
        <v>149</v>
      </c>
      <c r="AE4" s="46" t="s">
        <v>150</v>
      </c>
      <c r="AF4" s="46" t="s">
        <v>151</v>
      </c>
      <c r="AG4" s="46" t="s">
        <v>152</v>
      </c>
      <c r="AH4" s="46" t="s">
        <v>153</v>
      </c>
      <c r="AI4" s="46" t="s">
        <v>154</v>
      </c>
      <c r="AJ4" s="46" t="s">
        <v>155</v>
      </c>
      <c r="AK4" s="46" t="s">
        <v>156</v>
      </c>
      <c r="AL4" s="46" t="s">
        <v>157</v>
      </c>
      <c r="AM4" s="46" t="s">
        <v>158</v>
      </c>
      <c r="AN4" s="46" t="s">
        <v>151</v>
      </c>
      <c r="AO4" s="46" t="s">
        <v>159</v>
      </c>
    </row>
    <row r="5" spans="2:41" ht="15.75" customHeight="1" x14ac:dyDescent="0.25">
      <c r="B5" s="44" t="s">
        <v>91</v>
      </c>
      <c r="C5" s="46" t="s">
        <v>160</v>
      </c>
      <c r="D5" s="45" t="s">
        <v>129</v>
      </c>
      <c r="E5" s="47"/>
      <c r="F5" s="46" t="s">
        <v>161</v>
      </c>
      <c r="G5" s="47"/>
      <c r="H5" s="46" t="s">
        <v>162</v>
      </c>
      <c r="I5" s="47"/>
      <c r="J5" s="46" t="s">
        <v>163</v>
      </c>
      <c r="K5" s="47"/>
      <c r="L5" s="46" t="s">
        <v>164</v>
      </c>
      <c r="M5" s="46" t="s">
        <v>165</v>
      </c>
      <c r="N5" s="46" t="s">
        <v>166</v>
      </c>
      <c r="O5" s="46" t="s">
        <v>138</v>
      </c>
      <c r="P5" s="46" t="s">
        <v>167</v>
      </c>
      <c r="Q5" s="47"/>
      <c r="R5" s="46" t="s">
        <v>168</v>
      </c>
      <c r="S5" s="47"/>
      <c r="T5" s="47"/>
      <c r="U5" s="47"/>
      <c r="V5" s="46" t="s">
        <v>169</v>
      </c>
      <c r="W5" s="47"/>
      <c r="X5" s="46" t="s">
        <v>170</v>
      </c>
      <c r="Y5" s="46" t="s">
        <v>171</v>
      </c>
      <c r="Z5" s="47"/>
      <c r="AA5" s="46" t="s">
        <v>172</v>
      </c>
      <c r="AB5" s="47"/>
      <c r="AC5" s="46" t="s">
        <v>173</v>
      </c>
      <c r="AD5" s="46" t="s">
        <v>174</v>
      </c>
      <c r="AE5" s="46" t="s">
        <v>174</v>
      </c>
      <c r="AF5" s="46" t="s">
        <v>175</v>
      </c>
      <c r="AG5" s="46" t="s">
        <v>176</v>
      </c>
      <c r="AH5" s="46" t="s">
        <v>177</v>
      </c>
      <c r="AI5" s="46" t="s">
        <v>178</v>
      </c>
      <c r="AJ5" s="46" t="s">
        <v>179</v>
      </c>
      <c r="AK5" s="46" t="s">
        <v>180</v>
      </c>
      <c r="AL5" s="46" t="s">
        <v>181</v>
      </c>
      <c r="AM5" s="46" t="s">
        <v>182</v>
      </c>
      <c r="AN5" s="46" t="s">
        <v>182</v>
      </c>
      <c r="AO5" s="46" t="s">
        <v>183</v>
      </c>
    </row>
    <row r="6" spans="2:41" ht="15.75" customHeight="1" x14ac:dyDescent="0.25">
      <c r="B6" s="44" t="s">
        <v>92</v>
      </c>
      <c r="C6" s="46" t="s">
        <v>184</v>
      </c>
      <c r="D6" s="47"/>
      <c r="E6" s="45" t="s">
        <v>129</v>
      </c>
      <c r="F6" s="46" t="s">
        <v>185</v>
      </c>
      <c r="G6" s="46" t="s">
        <v>186</v>
      </c>
      <c r="H6" s="47"/>
      <c r="I6" s="46" t="s">
        <v>187</v>
      </c>
      <c r="J6" s="47"/>
      <c r="K6" s="46" t="s">
        <v>188</v>
      </c>
      <c r="L6" s="46" t="s">
        <v>136</v>
      </c>
      <c r="M6" s="46" t="s">
        <v>189</v>
      </c>
      <c r="N6" s="46" t="s">
        <v>190</v>
      </c>
      <c r="O6" s="46" t="s">
        <v>138</v>
      </c>
      <c r="P6" s="46" t="s">
        <v>191</v>
      </c>
      <c r="Q6" s="46" t="s">
        <v>192</v>
      </c>
      <c r="R6" s="47"/>
      <c r="S6" s="46" t="s">
        <v>193</v>
      </c>
      <c r="T6" s="46" t="s">
        <v>194</v>
      </c>
      <c r="U6" s="46" t="s">
        <v>195</v>
      </c>
      <c r="V6" s="47"/>
      <c r="W6" s="47"/>
      <c r="X6" s="46" t="s">
        <v>196</v>
      </c>
      <c r="Y6" s="46" t="s">
        <v>197</v>
      </c>
      <c r="Z6" s="46" t="s">
        <v>197</v>
      </c>
      <c r="AA6" s="46" t="s">
        <v>198</v>
      </c>
      <c r="AB6" s="46" t="s">
        <v>199</v>
      </c>
      <c r="AC6" s="46" t="s">
        <v>200</v>
      </c>
      <c r="AD6" s="46" t="s">
        <v>201</v>
      </c>
      <c r="AE6" s="46" t="s">
        <v>201</v>
      </c>
      <c r="AF6" s="46" t="s">
        <v>202</v>
      </c>
      <c r="AG6" s="46" t="s">
        <v>203</v>
      </c>
      <c r="AH6" s="46" t="s">
        <v>204</v>
      </c>
      <c r="AI6" s="46" t="s">
        <v>205</v>
      </c>
      <c r="AJ6" s="46" t="s">
        <v>206</v>
      </c>
      <c r="AK6" s="46" t="s">
        <v>207</v>
      </c>
      <c r="AL6" s="46" t="s">
        <v>208</v>
      </c>
      <c r="AM6" s="46" t="s">
        <v>209</v>
      </c>
      <c r="AN6" s="47"/>
      <c r="AO6" s="46" t="s">
        <v>205</v>
      </c>
    </row>
    <row r="7" spans="2:41" ht="15.75" customHeight="1" x14ac:dyDescent="0.25">
      <c r="B7" s="44" t="s">
        <v>93</v>
      </c>
      <c r="C7" s="47"/>
      <c r="D7" s="46" t="s">
        <v>161</v>
      </c>
      <c r="E7" s="46" t="s">
        <v>185</v>
      </c>
      <c r="F7" s="45" t="s">
        <v>129</v>
      </c>
      <c r="G7" s="47"/>
      <c r="H7" s="46" t="s">
        <v>210</v>
      </c>
      <c r="I7" s="47"/>
      <c r="J7" s="46" t="s">
        <v>211</v>
      </c>
      <c r="K7" s="47"/>
      <c r="L7" s="47"/>
      <c r="M7" s="46" t="s">
        <v>138</v>
      </c>
      <c r="N7" s="46" t="s">
        <v>212</v>
      </c>
      <c r="O7" s="46" t="s">
        <v>138</v>
      </c>
      <c r="P7" s="46" t="s">
        <v>199</v>
      </c>
      <c r="Q7" s="47"/>
      <c r="R7" s="46" t="s">
        <v>168</v>
      </c>
      <c r="S7" s="47"/>
      <c r="T7" s="46" t="s">
        <v>213</v>
      </c>
      <c r="U7" s="47"/>
      <c r="V7" s="46" t="s">
        <v>214</v>
      </c>
      <c r="W7" s="47"/>
      <c r="X7" s="47"/>
      <c r="Y7" s="46" t="s">
        <v>215</v>
      </c>
      <c r="Z7" s="47"/>
      <c r="AA7" s="46" t="s">
        <v>216</v>
      </c>
      <c r="AB7" s="47"/>
      <c r="AC7" s="46" t="s">
        <v>217</v>
      </c>
      <c r="AD7" s="46" t="s">
        <v>218</v>
      </c>
      <c r="AE7" s="46" t="s">
        <v>219</v>
      </c>
      <c r="AF7" s="46" t="s">
        <v>220</v>
      </c>
      <c r="AG7" s="46" t="s">
        <v>221</v>
      </c>
      <c r="AH7" s="46" t="s">
        <v>222</v>
      </c>
      <c r="AI7" s="46" t="s">
        <v>223</v>
      </c>
      <c r="AJ7" s="46" t="s">
        <v>224</v>
      </c>
      <c r="AK7" s="46" t="s">
        <v>225</v>
      </c>
      <c r="AL7" s="46" t="s">
        <v>226</v>
      </c>
      <c r="AM7" s="46" t="s">
        <v>227</v>
      </c>
      <c r="AN7" s="46" t="s">
        <v>228</v>
      </c>
      <c r="AO7" s="46" t="s">
        <v>229</v>
      </c>
    </row>
    <row r="8" spans="2:41" ht="15.75" customHeight="1" x14ac:dyDescent="0.25">
      <c r="B8" s="44" t="s">
        <v>94</v>
      </c>
      <c r="C8" s="46" t="s">
        <v>230</v>
      </c>
      <c r="D8" s="47"/>
      <c r="E8" s="46" t="s">
        <v>231</v>
      </c>
      <c r="F8" s="47"/>
      <c r="G8" s="45" t="s">
        <v>129</v>
      </c>
      <c r="H8" s="46" t="s">
        <v>232</v>
      </c>
      <c r="I8" s="46" t="s">
        <v>233</v>
      </c>
      <c r="J8" s="47"/>
      <c r="K8" s="46" t="s">
        <v>234</v>
      </c>
      <c r="L8" s="46" t="s">
        <v>235</v>
      </c>
      <c r="M8" s="46" t="s">
        <v>236</v>
      </c>
      <c r="N8" s="46" t="s">
        <v>233</v>
      </c>
      <c r="O8" s="46" t="s">
        <v>237</v>
      </c>
      <c r="P8" s="46" t="s">
        <v>238</v>
      </c>
      <c r="Q8" s="46" t="s">
        <v>239</v>
      </c>
      <c r="R8" s="47"/>
      <c r="S8" s="46" t="s">
        <v>240</v>
      </c>
      <c r="T8" s="46" t="s">
        <v>241</v>
      </c>
      <c r="U8" s="46" t="s">
        <v>242</v>
      </c>
      <c r="V8" s="47"/>
      <c r="W8" s="47"/>
      <c r="X8" s="46" t="s">
        <v>243</v>
      </c>
      <c r="Y8" s="46" t="s">
        <v>244</v>
      </c>
      <c r="Z8" s="46" t="s">
        <v>245</v>
      </c>
      <c r="AA8" s="46" t="s">
        <v>246</v>
      </c>
      <c r="AB8" s="46" t="s">
        <v>247</v>
      </c>
      <c r="AC8" s="46" t="s">
        <v>248</v>
      </c>
      <c r="AD8" s="46" t="s">
        <v>249</v>
      </c>
      <c r="AE8" s="46" t="s">
        <v>250</v>
      </c>
      <c r="AF8" s="46" t="s">
        <v>251</v>
      </c>
      <c r="AG8" s="46" t="s">
        <v>252</v>
      </c>
      <c r="AH8" s="46" t="s">
        <v>253</v>
      </c>
      <c r="AI8" s="46" t="s">
        <v>254</v>
      </c>
      <c r="AJ8" s="46" t="s">
        <v>255</v>
      </c>
      <c r="AK8" s="46" t="s">
        <v>236</v>
      </c>
      <c r="AL8" s="46" t="s">
        <v>256</v>
      </c>
      <c r="AM8" s="46" t="s">
        <v>257</v>
      </c>
      <c r="AN8" s="46" t="s">
        <v>258</v>
      </c>
      <c r="AO8" s="46" t="s">
        <v>259</v>
      </c>
    </row>
    <row r="9" spans="2:41" ht="15.75" customHeight="1" x14ac:dyDescent="0.25">
      <c r="B9" s="44" t="s">
        <v>95</v>
      </c>
      <c r="C9" s="47"/>
      <c r="D9" s="46" t="s">
        <v>162</v>
      </c>
      <c r="E9" s="47"/>
      <c r="F9" s="46" t="s">
        <v>210</v>
      </c>
      <c r="G9" s="46" t="s">
        <v>232</v>
      </c>
      <c r="H9" s="45" t="s">
        <v>129</v>
      </c>
      <c r="I9" s="47"/>
      <c r="J9" s="46" t="s">
        <v>260</v>
      </c>
      <c r="K9" s="46" t="s">
        <v>261</v>
      </c>
      <c r="L9" s="46" t="s">
        <v>262</v>
      </c>
      <c r="M9" s="46" t="s">
        <v>263</v>
      </c>
      <c r="N9" s="46" t="s">
        <v>234</v>
      </c>
      <c r="O9" s="46" t="s">
        <v>264</v>
      </c>
      <c r="P9" s="47"/>
      <c r="Q9" s="47"/>
      <c r="R9" s="47"/>
      <c r="S9" s="47"/>
      <c r="T9" s="47"/>
      <c r="U9" s="46" t="s">
        <v>265</v>
      </c>
      <c r="V9" s="47"/>
      <c r="W9" s="47"/>
      <c r="X9" s="47"/>
      <c r="Y9" s="46" t="s">
        <v>265</v>
      </c>
      <c r="Z9" s="47"/>
      <c r="AA9" s="46" t="s">
        <v>266</v>
      </c>
      <c r="AB9" s="46" t="s">
        <v>266</v>
      </c>
      <c r="AC9" s="46" t="s">
        <v>267</v>
      </c>
      <c r="AD9" s="46" t="s">
        <v>249</v>
      </c>
      <c r="AE9" s="46" t="s">
        <v>199</v>
      </c>
      <c r="AF9" s="46" t="s">
        <v>268</v>
      </c>
      <c r="AG9" s="46" t="s">
        <v>269</v>
      </c>
      <c r="AH9" s="46" t="s">
        <v>270</v>
      </c>
      <c r="AI9" s="46" t="s">
        <v>271</v>
      </c>
      <c r="AJ9" s="46" t="s">
        <v>271</v>
      </c>
      <c r="AK9" s="46" t="s">
        <v>218</v>
      </c>
      <c r="AL9" s="46" t="s">
        <v>272</v>
      </c>
      <c r="AM9" s="46" t="s">
        <v>273</v>
      </c>
      <c r="AN9" s="47"/>
      <c r="AO9" s="46" t="s">
        <v>274</v>
      </c>
    </row>
    <row r="10" spans="2:41" ht="15.75" customHeight="1" x14ac:dyDescent="0.25">
      <c r="B10" s="44" t="s">
        <v>96</v>
      </c>
      <c r="C10" s="46" t="s">
        <v>275</v>
      </c>
      <c r="D10" s="47"/>
      <c r="E10" s="46" t="s">
        <v>276</v>
      </c>
      <c r="F10" s="47"/>
      <c r="G10" s="46" t="s">
        <v>277</v>
      </c>
      <c r="H10" s="47"/>
      <c r="I10" s="45" t="s">
        <v>129</v>
      </c>
      <c r="J10" s="47"/>
      <c r="K10" s="46" t="s">
        <v>278</v>
      </c>
      <c r="L10" s="46" t="s">
        <v>279</v>
      </c>
      <c r="M10" s="46" t="s">
        <v>280</v>
      </c>
      <c r="N10" s="46" t="s">
        <v>281</v>
      </c>
      <c r="O10" s="46" t="s">
        <v>282</v>
      </c>
      <c r="P10" s="46" t="s">
        <v>283</v>
      </c>
      <c r="Q10" s="46" t="s">
        <v>284</v>
      </c>
      <c r="R10" s="47"/>
      <c r="S10" s="46" t="s">
        <v>285</v>
      </c>
      <c r="T10" s="46" t="s">
        <v>286</v>
      </c>
      <c r="U10" s="46" t="s">
        <v>287</v>
      </c>
      <c r="V10" s="46" t="s">
        <v>288</v>
      </c>
      <c r="W10" s="47"/>
      <c r="X10" s="46" t="s">
        <v>289</v>
      </c>
      <c r="Y10" s="46" t="s">
        <v>290</v>
      </c>
      <c r="Z10" s="46" t="s">
        <v>291</v>
      </c>
      <c r="AA10" s="46" t="s">
        <v>287</v>
      </c>
      <c r="AB10" s="46" t="s">
        <v>292</v>
      </c>
      <c r="AC10" s="46" t="s">
        <v>293</v>
      </c>
      <c r="AD10" s="46" t="s">
        <v>294</v>
      </c>
      <c r="AE10" s="46" t="s">
        <v>295</v>
      </c>
      <c r="AF10" s="46" t="s">
        <v>296</v>
      </c>
      <c r="AG10" s="46" t="s">
        <v>297</v>
      </c>
      <c r="AH10" s="46" t="s">
        <v>298</v>
      </c>
      <c r="AI10" s="46" t="s">
        <v>299</v>
      </c>
      <c r="AJ10" s="46" t="s">
        <v>300</v>
      </c>
      <c r="AK10" s="46" t="s">
        <v>301</v>
      </c>
      <c r="AL10" s="46" t="s">
        <v>302</v>
      </c>
      <c r="AM10" s="46" t="s">
        <v>303</v>
      </c>
      <c r="AN10" s="46" t="s">
        <v>304</v>
      </c>
      <c r="AO10" s="46" t="s">
        <v>197</v>
      </c>
    </row>
    <row r="11" spans="2:41" ht="15.75" customHeight="1" x14ac:dyDescent="0.25">
      <c r="B11" s="44" t="s">
        <v>97</v>
      </c>
      <c r="C11" s="47"/>
      <c r="D11" s="46" t="s">
        <v>163</v>
      </c>
      <c r="E11" s="47"/>
      <c r="F11" s="46" t="s">
        <v>211</v>
      </c>
      <c r="G11" s="47"/>
      <c r="H11" s="46" t="s">
        <v>260</v>
      </c>
      <c r="I11" s="47"/>
      <c r="J11" s="45" t="s">
        <v>129</v>
      </c>
      <c r="K11" s="47"/>
      <c r="L11" s="46" t="s">
        <v>228</v>
      </c>
      <c r="M11" s="46" t="s">
        <v>305</v>
      </c>
      <c r="N11" s="46" t="s">
        <v>288</v>
      </c>
      <c r="O11" s="46" t="s">
        <v>306</v>
      </c>
      <c r="P11" s="46" t="s">
        <v>307</v>
      </c>
      <c r="Q11" s="47"/>
      <c r="R11" s="46" t="s">
        <v>168</v>
      </c>
      <c r="S11" s="47"/>
      <c r="T11" s="47"/>
      <c r="U11" s="47"/>
      <c r="V11" s="46" t="s">
        <v>308</v>
      </c>
      <c r="W11" s="47"/>
      <c r="X11" s="47"/>
      <c r="Y11" s="46" t="s">
        <v>309</v>
      </c>
      <c r="Z11" s="47"/>
      <c r="AA11" s="46" t="s">
        <v>310</v>
      </c>
      <c r="AB11" s="46" t="s">
        <v>311</v>
      </c>
      <c r="AC11" s="46" t="s">
        <v>312</v>
      </c>
      <c r="AD11" s="46" t="s">
        <v>313</v>
      </c>
      <c r="AE11" s="46" t="s">
        <v>314</v>
      </c>
      <c r="AF11" s="46" t="s">
        <v>168</v>
      </c>
      <c r="AG11" s="46" t="s">
        <v>315</v>
      </c>
      <c r="AH11" s="46" t="s">
        <v>316</v>
      </c>
      <c r="AI11" s="46" t="s">
        <v>223</v>
      </c>
      <c r="AJ11" s="46" t="s">
        <v>224</v>
      </c>
      <c r="AK11" s="46" t="s">
        <v>225</v>
      </c>
      <c r="AL11" s="46" t="s">
        <v>226</v>
      </c>
      <c r="AM11" s="46" t="s">
        <v>227</v>
      </c>
      <c r="AN11" s="46" t="s">
        <v>228</v>
      </c>
      <c r="AO11" s="46" t="s">
        <v>229</v>
      </c>
    </row>
    <row r="12" spans="2:41" ht="15.75" customHeight="1" x14ac:dyDescent="0.25">
      <c r="B12" s="44" t="s">
        <v>98</v>
      </c>
      <c r="C12" s="46" t="s">
        <v>134</v>
      </c>
      <c r="D12" s="47"/>
      <c r="E12" s="46" t="s">
        <v>317</v>
      </c>
      <c r="F12" s="47"/>
      <c r="G12" s="46" t="s">
        <v>318</v>
      </c>
      <c r="H12" s="46" t="s">
        <v>319</v>
      </c>
      <c r="I12" s="46" t="s">
        <v>320</v>
      </c>
      <c r="J12" s="47"/>
      <c r="K12" s="45" t="s">
        <v>129</v>
      </c>
      <c r="L12" s="46" t="s">
        <v>321</v>
      </c>
      <c r="M12" s="46" t="s">
        <v>322</v>
      </c>
      <c r="N12" s="46" t="s">
        <v>323</v>
      </c>
      <c r="O12" s="46" t="s">
        <v>324</v>
      </c>
      <c r="P12" s="46" t="s">
        <v>325</v>
      </c>
      <c r="Q12" s="46" t="s">
        <v>326</v>
      </c>
      <c r="R12" s="47"/>
      <c r="S12" s="46" t="s">
        <v>327</v>
      </c>
      <c r="T12" s="47"/>
      <c r="U12" s="46" t="s">
        <v>328</v>
      </c>
      <c r="V12" s="47"/>
      <c r="W12" s="46" t="s">
        <v>329</v>
      </c>
      <c r="X12" s="46" t="s">
        <v>303</v>
      </c>
      <c r="Y12" s="46" t="s">
        <v>168</v>
      </c>
      <c r="Z12" s="46" t="s">
        <v>330</v>
      </c>
      <c r="AA12" s="46" t="s">
        <v>331</v>
      </c>
      <c r="AB12" s="46" t="s">
        <v>332</v>
      </c>
      <c r="AC12" s="46" t="s">
        <v>333</v>
      </c>
      <c r="AD12" s="46" t="s">
        <v>334</v>
      </c>
      <c r="AE12" s="46" t="s">
        <v>335</v>
      </c>
      <c r="AF12" s="46" t="s">
        <v>336</v>
      </c>
      <c r="AG12" s="46" t="s">
        <v>337</v>
      </c>
      <c r="AH12" s="46" t="s">
        <v>313</v>
      </c>
      <c r="AI12" s="46" t="s">
        <v>338</v>
      </c>
      <c r="AJ12" s="46" t="s">
        <v>297</v>
      </c>
      <c r="AK12" s="46" t="s">
        <v>339</v>
      </c>
      <c r="AL12" s="46" t="s">
        <v>340</v>
      </c>
      <c r="AM12" s="46" t="s">
        <v>246</v>
      </c>
      <c r="AN12" s="46" t="s">
        <v>341</v>
      </c>
      <c r="AO12" s="46" t="s">
        <v>229</v>
      </c>
    </row>
    <row r="13" spans="2:41" ht="15.75" customHeight="1" x14ac:dyDescent="0.25">
      <c r="B13" s="44" t="s">
        <v>99</v>
      </c>
      <c r="C13" s="46" t="s">
        <v>135</v>
      </c>
      <c r="D13" s="46" t="s">
        <v>164</v>
      </c>
      <c r="E13" s="46" t="s">
        <v>136</v>
      </c>
      <c r="F13" s="47"/>
      <c r="G13" s="46" t="s">
        <v>235</v>
      </c>
      <c r="H13" s="46" t="s">
        <v>342</v>
      </c>
      <c r="I13" s="46" t="s">
        <v>343</v>
      </c>
      <c r="J13" s="46" t="s">
        <v>344</v>
      </c>
      <c r="K13" s="46" t="s">
        <v>328</v>
      </c>
      <c r="L13" s="45" t="s">
        <v>129</v>
      </c>
      <c r="M13" s="46" t="s">
        <v>345</v>
      </c>
      <c r="N13" s="46" t="s">
        <v>346</v>
      </c>
      <c r="O13" s="46" t="s">
        <v>347</v>
      </c>
      <c r="P13" s="46" t="s">
        <v>348</v>
      </c>
      <c r="Q13" s="46" t="s">
        <v>349</v>
      </c>
      <c r="R13" s="47"/>
      <c r="S13" s="46" t="s">
        <v>168</v>
      </c>
      <c r="T13" s="46" t="s">
        <v>350</v>
      </c>
      <c r="U13" s="46" t="s">
        <v>168</v>
      </c>
      <c r="V13" s="47"/>
      <c r="W13" s="46" t="s">
        <v>351</v>
      </c>
      <c r="X13" s="46" t="s">
        <v>178</v>
      </c>
      <c r="Y13" s="46" t="s">
        <v>312</v>
      </c>
      <c r="Z13" s="46" t="s">
        <v>352</v>
      </c>
      <c r="AA13" s="46" t="s">
        <v>353</v>
      </c>
      <c r="AB13" s="46" t="s">
        <v>354</v>
      </c>
      <c r="AC13" s="46" t="s">
        <v>355</v>
      </c>
      <c r="AD13" s="46" t="s">
        <v>236</v>
      </c>
      <c r="AE13" s="46" t="s">
        <v>180</v>
      </c>
      <c r="AF13" s="46" t="s">
        <v>356</v>
      </c>
      <c r="AG13" s="46" t="s">
        <v>357</v>
      </c>
      <c r="AH13" s="46" t="s">
        <v>358</v>
      </c>
      <c r="AI13" s="46" t="s">
        <v>359</v>
      </c>
      <c r="AJ13" s="46" t="s">
        <v>360</v>
      </c>
      <c r="AK13" s="46" t="s">
        <v>361</v>
      </c>
      <c r="AL13" s="46" t="s">
        <v>362</v>
      </c>
      <c r="AM13" s="46" t="s">
        <v>363</v>
      </c>
      <c r="AN13" s="46" t="s">
        <v>335</v>
      </c>
      <c r="AO13" s="46" t="s">
        <v>364</v>
      </c>
    </row>
    <row r="14" spans="2:41" ht="15.75" customHeight="1" x14ac:dyDescent="0.25">
      <c r="B14" s="44" t="s">
        <v>100</v>
      </c>
      <c r="C14" s="46" t="s">
        <v>365</v>
      </c>
      <c r="D14" s="46" t="s">
        <v>165</v>
      </c>
      <c r="E14" s="46" t="s">
        <v>189</v>
      </c>
      <c r="F14" s="46" t="s">
        <v>138</v>
      </c>
      <c r="G14" s="46" t="s">
        <v>366</v>
      </c>
      <c r="H14" s="46" t="s">
        <v>263</v>
      </c>
      <c r="I14" s="46" t="s">
        <v>367</v>
      </c>
      <c r="J14" s="46" t="s">
        <v>305</v>
      </c>
      <c r="K14" s="46" t="s">
        <v>368</v>
      </c>
      <c r="L14" s="46" t="s">
        <v>345</v>
      </c>
      <c r="M14" s="45" t="s">
        <v>129</v>
      </c>
      <c r="N14" s="46" t="s">
        <v>369</v>
      </c>
      <c r="O14" s="46" t="s">
        <v>370</v>
      </c>
      <c r="P14" s="46" t="s">
        <v>371</v>
      </c>
      <c r="Q14" s="46" t="s">
        <v>372</v>
      </c>
      <c r="R14" s="47"/>
      <c r="S14" s="46" t="s">
        <v>373</v>
      </c>
      <c r="T14" s="47"/>
      <c r="U14" s="46" t="s">
        <v>374</v>
      </c>
      <c r="V14" s="47"/>
      <c r="W14" s="46" t="s">
        <v>375</v>
      </c>
      <c r="X14" s="46" t="s">
        <v>344</v>
      </c>
      <c r="Y14" s="46" t="s">
        <v>376</v>
      </c>
      <c r="Z14" s="46" t="s">
        <v>377</v>
      </c>
      <c r="AA14" s="46" t="s">
        <v>370</v>
      </c>
      <c r="AB14" s="46" t="s">
        <v>378</v>
      </c>
      <c r="AC14" s="46" t="s">
        <v>379</v>
      </c>
      <c r="AD14" s="46" t="s">
        <v>313</v>
      </c>
      <c r="AE14" s="46" t="s">
        <v>380</v>
      </c>
      <c r="AF14" s="46" t="s">
        <v>381</v>
      </c>
      <c r="AG14" s="46" t="s">
        <v>382</v>
      </c>
      <c r="AH14" s="46" t="s">
        <v>383</v>
      </c>
      <c r="AI14" s="46" t="s">
        <v>384</v>
      </c>
      <c r="AJ14" s="46" t="s">
        <v>385</v>
      </c>
      <c r="AK14" s="46" t="s">
        <v>386</v>
      </c>
      <c r="AL14" s="46" t="s">
        <v>387</v>
      </c>
      <c r="AM14" s="47"/>
      <c r="AN14" s="46" t="s">
        <v>388</v>
      </c>
      <c r="AO14" s="46" t="s">
        <v>389</v>
      </c>
    </row>
    <row r="15" spans="2:41" ht="15.75" customHeight="1" x14ac:dyDescent="0.25">
      <c r="B15" s="44" t="s">
        <v>101</v>
      </c>
      <c r="C15" s="46" t="s">
        <v>390</v>
      </c>
      <c r="D15" s="46" t="s">
        <v>391</v>
      </c>
      <c r="E15" s="46" t="s">
        <v>392</v>
      </c>
      <c r="F15" s="46" t="s">
        <v>393</v>
      </c>
      <c r="G15" s="46" t="s">
        <v>335</v>
      </c>
      <c r="H15" s="46" t="s">
        <v>288</v>
      </c>
      <c r="I15" s="46" t="s">
        <v>394</v>
      </c>
      <c r="J15" s="46" t="s">
        <v>346</v>
      </c>
      <c r="K15" s="46" t="s">
        <v>395</v>
      </c>
      <c r="L15" s="46" t="s">
        <v>396</v>
      </c>
      <c r="M15" s="46" t="s">
        <v>397</v>
      </c>
      <c r="N15" s="45" t="s">
        <v>129</v>
      </c>
      <c r="O15" s="46" t="s">
        <v>337</v>
      </c>
      <c r="P15" s="46" t="s">
        <v>398</v>
      </c>
      <c r="Q15" s="46" t="s">
        <v>267</v>
      </c>
      <c r="R15" s="47"/>
      <c r="S15" s="46" t="s">
        <v>399</v>
      </c>
      <c r="T15" s="46" t="s">
        <v>400</v>
      </c>
      <c r="U15" s="46" t="s">
        <v>323</v>
      </c>
      <c r="V15" s="46" t="s">
        <v>401</v>
      </c>
      <c r="W15" s="46" t="s">
        <v>399</v>
      </c>
      <c r="X15" s="46" t="s">
        <v>288</v>
      </c>
      <c r="Y15" s="46" t="s">
        <v>402</v>
      </c>
      <c r="Z15" s="46" t="s">
        <v>377</v>
      </c>
      <c r="AA15" s="46" t="s">
        <v>403</v>
      </c>
      <c r="AB15" s="46" t="s">
        <v>404</v>
      </c>
      <c r="AC15" s="46" t="s">
        <v>405</v>
      </c>
      <c r="AD15" s="46" t="s">
        <v>406</v>
      </c>
      <c r="AE15" s="46" t="s">
        <v>407</v>
      </c>
      <c r="AF15" s="46" t="s">
        <v>381</v>
      </c>
      <c r="AG15" s="46" t="s">
        <v>408</v>
      </c>
      <c r="AH15" s="46" t="s">
        <v>409</v>
      </c>
      <c r="AI15" s="46" t="s">
        <v>410</v>
      </c>
      <c r="AJ15" s="46" t="s">
        <v>411</v>
      </c>
      <c r="AK15" s="46" t="s">
        <v>412</v>
      </c>
      <c r="AL15" s="46" t="s">
        <v>413</v>
      </c>
      <c r="AM15" s="46" t="s">
        <v>414</v>
      </c>
      <c r="AN15" s="46" t="s">
        <v>415</v>
      </c>
      <c r="AO15" s="46" t="s">
        <v>416</v>
      </c>
    </row>
    <row r="16" spans="2:41" ht="15.75" customHeight="1" x14ac:dyDescent="0.25">
      <c r="B16" s="44" t="s">
        <v>102</v>
      </c>
      <c r="C16" s="46" t="s">
        <v>417</v>
      </c>
      <c r="D16" s="46" t="s">
        <v>418</v>
      </c>
      <c r="E16" s="46" t="s">
        <v>138</v>
      </c>
      <c r="F16" s="46" t="s">
        <v>138</v>
      </c>
      <c r="G16" s="46" t="s">
        <v>245</v>
      </c>
      <c r="H16" s="46" t="s">
        <v>419</v>
      </c>
      <c r="I16" s="46" t="s">
        <v>347</v>
      </c>
      <c r="J16" s="46" t="s">
        <v>306</v>
      </c>
      <c r="K16" s="46" t="s">
        <v>420</v>
      </c>
      <c r="L16" s="46" t="s">
        <v>421</v>
      </c>
      <c r="M16" s="46" t="s">
        <v>422</v>
      </c>
      <c r="N16" s="46" t="s">
        <v>423</v>
      </c>
      <c r="O16" s="45" t="s">
        <v>129</v>
      </c>
      <c r="P16" s="46" t="s">
        <v>424</v>
      </c>
      <c r="Q16" s="46" t="s">
        <v>425</v>
      </c>
      <c r="R16" s="47"/>
      <c r="S16" s="46" t="s">
        <v>426</v>
      </c>
      <c r="T16" s="47"/>
      <c r="U16" s="46" t="s">
        <v>427</v>
      </c>
      <c r="V16" s="47"/>
      <c r="W16" s="47"/>
      <c r="X16" s="46" t="s">
        <v>166</v>
      </c>
      <c r="Y16" s="46" t="s">
        <v>428</v>
      </c>
      <c r="Z16" s="46" t="s">
        <v>429</v>
      </c>
      <c r="AA16" s="46" t="s">
        <v>430</v>
      </c>
      <c r="AB16" s="46" t="s">
        <v>431</v>
      </c>
      <c r="AC16" s="46" t="s">
        <v>380</v>
      </c>
      <c r="AD16" s="46" t="s">
        <v>432</v>
      </c>
      <c r="AE16" s="46" t="s">
        <v>433</v>
      </c>
      <c r="AF16" s="46" t="s">
        <v>434</v>
      </c>
      <c r="AG16" s="46" t="s">
        <v>423</v>
      </c>
      <c r="AH16" s="46" t="s">
        <v>435</v>
      </c>
      <c r="AI16" s="46" t="s">
        <v>436</v>
      </c>
      <c r="AJ16" s="46" t="s">
        <v>437</v>
      </c>
      <c r="AK16" s="46" t="s">
        <v>438</v>
      </c>
      <c r="AL16" s="46" t="s">
        <v>439</v>
      </c>
      <c r="AM16" s="46" t="s">
        <v>406</v>
      </c>
      <c r="AN16" s="46" t="s">
        <v>272</v>
      </c>
      <c r="AO16" s="46" t="s">
        <v>440</v>
      </c>
    </row>
    <row r="17" spans="2:41" ht="15.75" customHeight="1" x14ac:dyDescent="0.25">
      <c r="B17" s="44" t="s">
        <v>103</v>
      </c>
      <c r="C17" s="46" t="s">
        <v>139</v>
      </c>
      <c r="D17" s="46" t="s">
        <v>441</v>
      </c>
      <c r="E17" s="46" t="s">
        <v>190</v>
      </c>
      <c r="F17" s="46" t="s">
        <v>140</v>
      </c>
      <c r="G17" s="46" t="s">
        <v>311</v>
      </c>
      <c r="H17" s="46" t="s">
        <v>442</v>
      </c>
      <c r="I17" s="46" t="s">
        <v>443</v>
      </c>
      <c r="J17" s="46" t="s">
        <v>307</v>
      </c>
      <c r="K17" s="46" t="s">
        <v>444</v>
      </c>
      <c r="L17" s="46" t="s">
        <v>445</v>
      </c>
      <c r="M17" s="46" t="s">
        <v>357</v>
      </c>
      <c r="N17" s="46" t="s">
        <v>446</v>
      </c>
      <c r="O17" s="46" t="s">
        <v>447</v>
      </c>
      <c r="P17" s="45" t="s">
        <v>129</v>
      </c>
      <c r="Q17" s="46" t="s">
        <v>372</v>
      </c>
      <c r="R17" s="47"/>
      <c r="S17" s="47"/>
      <c r="T17" s="46" t="s">
        <v>448</v>
      </c>
      <c r="U17" s="46" t="s">
        <v>448</v>
      </c>
      <c r="V17" s="47"/>
      <c r="W17" s="47"/>
      <c r="X17" s="46" t="s">
        <v>449</v>
      </c>
      <c r="Y17" s="46" t="s">
        <v>375</v>
      </c>
      <c r="Z17" s="46" t="s">
        <v>377</v>
      </c>
      <c r="AA17" s="46" t="s">
        <v>450</v>
      </c>
      <c r="AB17" s="46" t="s">
        <v>217</v>
      </c>
      <c r="AC17" s="46" t="s">
        <v>451</v>
      </c>
      <c r="AD17" s="46" t="s">
        <v>414</v>
      </c>
      <c r="AE17" s="46" t="s">
        <v>452</v>
      </c>
      <c r="AF17" s="46" t="s">
        <v>453</v>
      </c>
      <c r="AG17" s="46" t="s">
        <v>454</v>
      </c>
      <c r="AH17" s="46" t="s">
        <v>455</v>
      </c>
      <c r="AI17" s="46" t="s">
        <v>299</v>
      </c>
      <c r="AJ17" s="46" t="s">
        <v>456</v>
      </c>
      <c r="AK17" s="46" t="s">
        <v>457</v>
      </c>
      <c r="AL17" s="46" t="s">
        <v>458</v>
      </c>
      <c r="AM17" s="46" t="s">
        <v>414</v>
      </c>
      <c r="AN17" s="46" t="s">
        <v>459</v>
      </c>
      <c r="AO17" s="46" t="s">
        <v>252</v>
      </c>
    </row>
    <row r="18" spans="2:41" ht="15.75" customHeight="1" x14ac:dyDescent="0.25">
      <c r="B18" s="44" t="s">
        <v>104</v>
      </c>
      <c r="C18" s="46" t="s">
        <v>460</v>
      </c>
      <c r="D18" s="47"/>
      <c r="E18" s="46" t="s">
        <v>461</v>
      </c>
      <c r="F18" s="47"/>
      <c r="G18" s="46" t="s">
        <v>462</v>
      </c>
      <c r="H18" s="47"/>
      <c r="I18" s="46" t="s">
        <v>463</v>
      </c>
      <c r="J18" s="47"/>
      <c r="K18" s="46" t="s">
        <v>333</v>
      </c>
      <c r="L18" s="46" t="s">
        <v>464</v>
      </c>
      <c r="M18" s="46" t="s">
        <v>357</v>
      </c>
      <c r="N18" s="46" t="s">
        <v>465</v>
      </c>
      <c r="O18" s="46" t="s">
        <v>466</v>
      </c>
      <c r="P18" s="46" t="s">
        <v>467</v>
      </c>
      <c r="Q18" s="45" t="s">
        <v>129</v>
      </c>
      <c r="R18" s="46" t="s">
        <v>354</v>
      </c>
      <c r="S18" s="46" t="s">
        <v>361</v>
      </c>
      <c r="T18" s="46" t="s">
        <v>468</v>
      </c>
      <c r="U18" s="46" t="s">
        <v>424</v>
      </c>
      <c r="V18" s="47"/>
      <c r="W18" s="46" t="s">
        <v>469</v>
      </c>
      <c r="X18" s="46" t="s">
        <v>175</v>
      </c>
      <c r="Y18" s="46" t="s">
        <v>470</v>
      </c>
      <c r="Z18" s="46" t="s">
        <v>471</v>
      </c>
      <c r="AA18" s="46" t="s">
        <v>472</v>
      </c>
      <c r="AB18" s="46" t="s">
        <v>166</v>
      </c>
      <c r="AC18" s="46" t="s">
        <v>473</v>
      </c>
      <c r="AD18" s="46" t="s">
        <v>448</v>
      </c>
      <c r="AE18" s="46" t="s">
        <v>474</v>
      </c>
      <c r="AF18" s="46" t="s">
        <v>475</v>
      </c>
      <c r="AG18" s="46" t="s">
        <v>476</v>
      </c>
      <c r="AH18" s="46" t="s">
        <v>476</v>
      </c>
      <c r="AI18" s="46" t="s">
        <v>477</v>
      </c>
      <c r="AJ18" s="46" t="s">
        <v>478</v>
      </c>
      <c r="AK18" s="46" t="s">
        <v>479</v>
      </c>
      <c r="AL18" s="46" t="s">
        <v>381</v>
      </c>
      <c r="AM18" s="46" t="s">
        <v>480</v>
      </c>
      <c r="AN18" s="46" t="s">
        <v>481</v>
      </c>
      <c r="AO18" s="46" t="s">
        <v>482</v>
      </c>
    </row>
    <row r="19" spans="2:41" ht="15.75" customHeight="1" x14ac:dyDescent="0.25">
      <c r="B19" s="44" t="s">
        <v>105</v>
      </c>
      <c r="C19" s="47"/>
      <c r="D19" s="46" t="s">
        <v>168</v>
      </c>
      <c r="E19" s="47"/>
      <c r="F19" s="46" t="s">
        <v>168</v>
      </c>
      <c r="G19" s="47"/>
      <c r="H19" s="46" t="s">
        <v>168</v>
      </c>
      <c r="I19" s="47"/>
      <c r="J19" s="46" t="s">
        <v>168</v>
      </c>
      <c r="K19" s="47"/>
      <c r="L19" s="47"/>
      <c r="M19" s="47"/>
      <c r="N19" s="47"/>
      <c r="O19" s="47"/>
      <c r="P19" s="47"/>
      <c r="Q19" s="47"/>
      <c r="R19" s="45" t="s">
        <v>129</v>
      </c>
      <c r="S19" s="46" t="s">
        <v>483</v>
      </c>
      <c r="T19" s="47"/>
      <c r="U19" s="46" t="s">
        <v>349</v>
      </c>
      <c r="V19" s="47"/>
      <c r="W19" s="47"/>
      <c r="X19" s="47"/>
      <c r="Y19" s="46" t="s">
        <v>484</v>
      </c>
      <c r="Z19" s="46" t="s">
        <v>485</v>
      </c>
      <c r="AA19" s="46" t="s">
        <v>440</v>
      </c>
      <c r="AB19" s="47"/>
      <c r="AC19" s="46" t="s">
        <v>486</v>
      </c>
      <c r="AD19" s="46" t="s">
        <v>487</v>
      </c>
      <c r="AE19" s="46" t="s">
        <v>488</v>
      </c>
      <c r="AF19" s="46" t="s">
        <v>229</v>
      </c>
      <c r="AG19" s="46" t="s">
        <v>389</v>
      </c>
      <c r="AH19" s="46" t="s">
        <v>489</v>
      </c>
      <c r="AI19" s="46" t="s">
        <v>229</v>
      </c>
      <c r="AJ19" s="46" t="s">
        <v>252</v>
      </c>
      <c r="AK19" s="46" t="s">
        <v>455</v>
      </c>
      <c r="AL19" s="46" t="s">
        <v>490</v>
      </c>
      <c r="AM19" s="47"/>
      <c r="AN19" s="46" t="s">
        <v>491</v>
      </c>
      <c r="AO19" s="46" t="s">
        <v>492</v>
      </c>
    </row>
    <row r="20" spans="2:41" ht="15.75" customHeight="1" x14ac:dyDescent="0.25">
      <c r="B20" s="44" t="s">
        <v>106</v>
      </c>
      <c r="C20" s="46" t="s">
        <v>493</v>
      </c>
      <c r="D20" s="47"/>
      <c r="E20" s="46" t="s">
        <v>494</v>
      </c>
      <c r="F20" s="47"/>
      <c r="G20" s="46" t="s">
        <v>495</v>
      </c>
      <c r="H20" s="47"/>
      <c r="I20" s="46" t="s">
        <v>496</v>
      </c>
      <c r="J20" s="47"/>
      <c r="K20" s="46" t="s">
        <v>497</v>
      </c>
      <c r="L20" s="46" t="s">
        <v>497</v>
      </c>
      <c r="M20" s="46" t="s">
        <v>498</v>
      </c>
      <c r="N20" s="46" t="s">
        <v>499</v>
      </c>
      <c r="O20" s="46" t="s">
        <v>500</v>
      </c>
      <c r="P20" s="46" t="s">
        <v>199</v>
      </c>
      <c r="Q20" s="46" t="s">
        <v>501</v>
      </c>
      <c r="R20" s="47"/>
      <c r="S20" s="45" t="s">
        <v>129</v>
      </c>
      <c r="T20" s="46" t="s">
        <v>502</v>
      </c>
      <c r="U20" s="46" t="s">
        <v>437</v>
      </c>
      <c r="V20" s="46" t="s">
        <v>503</v>
      </c>
      <c r="W20" s="46" t="s">
        <v>504</v>
      </c>
      <c r="X20" s="46" t="s">
        <v>505</v>
      </c>
      <c r="Y20" s="46" t="s">
        <v>506</v>
      </c>
      <c r="Z20" s="46" t="s">
        <v>507</v>
      </c>
      <c r="AA20" s="46" t="s">
        <v>508</v>
      </c>
      <c r="AB20" s="46" t="s">
        <v>509</v>
      </c>
      <c r="AC20" s="46" t="s">
        <v>510</v>
      </c>
      <c r="AD20" s="46" t="s">
        <v>511</v>
      </c>
      <c r="AE20" s="46" t="s">
        <v>149</v>
      </c>
      <c r="AF20" s="46" t="s">
        <v>151</v>
      </c>
      <c r="AG20" s="46" t="s">
        <v>512</v>
      </c>
      <c r="AH20" s="46" t="s">
        <v>269</v>
      </c>
      <c r="AI20" s="46" t="s">
        <v>513</v>
      </c>
      <c r="AJ20" s="46" t="s">
        <v>514</v>
      </c>
      <c r="AK20" s="46" t="s">
        <v>515</v>
      </c>
      <c r="AL20" s="46" t="s">
        <v>516</v>
      </c>
      <c r="AM20" s="46" t="s">
        <v>157</v>
      </c>
      <c r="AN20" s="46" t="s">
        <v>517</v>
      </c>
      <c r="AO20" s="46" t="s">
        <v>518</v>
      </c>
    </row>
    <row r="21" spans="2:41" ht="15.75" customHeight="1" x14ac:dyDescent="0.25">
      <c r="B21" s="44" t="s">
        <v>107</v>
      </c>
      <c r="C21" s="47"/>
      <c r="D21" s="47"/>
      <c r="E21" s="46" t="s">
        <v>519</v>
      </c>
      <c r="F21" s="46" t="s">
        <v>520</v>
      </c>
      <c r="G21" s="46" t="s">
        <v>521</v>
      </c>
      <c r="H21" s="47"/>
      <c r="I21" s="46" t="s">
        <v>522</v>
      </c>
      <c r="J21" s="47"/>
      <c r="K21" s="47"/>
      <c r="L21" s="46" t="s">
        <v>350</v>
      </c>
      <c r="M21" s="47"/>
      <c r="N21" s="46" t="s">
        <v>400</v>
      </c>
      <c r="O21" s="46" t="s">
        <v>523</v>
      </c>
      <c r="P21" s="46" t="s">
        <v>448</v>
      </c>
      <c r="Q21" s="46" t="s">
        <v>524</v>
      </c>
      <c r="R21" s="47"/>
      <c r="S21" s="46" t="s">
        <v>502</v>
      </c>
      <c r="T21" s="45" t="s">
        <v>129</v>
      </c>
      <c r="U21" s="46" t="s">
        <v>525</v>
      </c>
      <c r="V21" s="47"/>
      <c r="W21" s="46" t="s">
        <v>526</v>
      </c>
      <c r="X21" s="46" t="s">
        <v>527</v>
      </c>
      <c r="Y21" s="46" t="s">
        <v>528</v>
      </c>
      <c r="Z21" s="46" t="s">
        <v>529</v>
      </c>
      <c r="AA21" s="46" t="s">
        <v>530</v>
      </c>
      <c r="AB21" s="46" t="s">
        <v>531</v>
      </c>
      <c r="AC21" s="46" t="s">
        <v>532</v>
      </c>
      <c r="AD21" s="46" t="s">
        <v>533</v>
      </c>
      <c r="AE21" s="46" t="s">
        <v>314</v>
      </c>
      <c r="AF21" s="46" t="s">
        <v>141</v>
      </c>
      <c r="AG21" s="46" t="s">
        <v>357</v>
      </c>
      <c r="AH21" s="46" t="s">
        <v>534</v>
      </c>
      <c r="AI21" s="46" t="s">
        <v>535</v>
      </c>
      <c r="AJ21" s="46" t="s">
        <v>536</v>
      </c>
      <c r="AK21" s="46" t="s">
        <v>537</v>
      </c>
      <c r="AL21" s="46" t="s">
        <v>413</v>
      </c>
      <c r="AM21" s="46" t="s">
        <v>538</v>
      </c>
      <c r="AN21" s="46" t="s">
        <v>539</v>
      </c>
      <c r="AO21" s="46" t="s">
        <v>522</v>
      </c>
    </row>
    <row r="22" spans="2:41" ht="15.75" customHeight="1" x14ac:dyDescent="0.25">
      <c r="B22" s="44" t="s">
        <v>108</v>
      </c>
      <c r="C22" s="46" t="s">
        <v>143</v>
      </c>
      <c r="D22" s="47"/>
      <c r="E22" s="46" t="s">
        <v>195</v>
      </c>
      <c r="F22" s="47"/>
      <c r="G22" s="46" t="s">
        <v>259</v>
      </c>
      <c r="H22" s="46" t="s">
        <v>259</v>
      </c>
      <c r="I22" s="46" t="s">
        <v>540</v>
      </c>
      <c r="J22" s="47"/>
      <c r="K22" s="46" t="s">
        <v>541</v>
      </c>
      <c r="L22" s="46" t="s">
        <v>542</v>
      </c>
      <c r="M22" s="46" t="s">
        <v>543</v>
      </c>
      <c r="N22" s="46" t="s">
        <v>544</v>
      </c>
      <c r="O22" s="46" t="s">
        <v>545</v>
      </c>
      <c r="P22" s="46" t="s">
        <v>546</v>
      </c>
      <c r="Q22" s="46" t="s">
        <v>547</v>
      </c>
      <c r="R22" s="46" t="s">
        <v>259</v>
      </c>
      <c r="S22" s="46" t="s">
        <v>437</v>
      </c>
      <c r="T22" s="46" t="s">
        <v>525</v>
      </c>
      <c r="U22" s="45" t="s">
        <v>129</v>
      </c>
      <c r="V22" s="46" t="s">
        <v>349</v>
      </c>
      <c r="W22" s="46" t="s">
        <v>548</v>
      </c>
      <c r="X22" s="46" t="s">
        <v>361</v>
      </c>
      <c r="Y22" s="46" t="s">
        <v>274</v>
      </c>
      <c r="Z22" s="46" t="s">
        <v>549</v>
      </c>
      <c r="AA22" s="46" t="s">
        <v>550</v>
      </c>
      <c r="AB22" s="46" t="s">
        <v>551</v>
      </c>
      <c r="AC22" s="46" t="s">
        <v>552</v>
      </c>
      <c r="AD22" s="46" t="s">
        <v>553</v>
      </c>
      <c r="AE22" s="46" t="s">
        <v>554</v>
      </c>
      <c r="AF22" s="46" t="s">
        <v>555</v>
      </c>
      <c r="AG22" s="46" t="s">
        <v>556</v>
      </c>
      <c r="AH22" s="46" t="s">
        <v>557</v>
      </c>
      <c r="AI22" s="46" t="s">
        <v>558</v>
      </c>
      <c r="AJ22" s="46" t="s">
        <v>559</v>
      </c>
      <c r="AK22" s="46" t="s">
        <v>560</v>
      </c>
      <c r="AL22" s="46" t="s">
        <v>561</v>
      </c>
      <c r="AM22" s="46" t="s">
        <v>562</v>
      </c>
      <c r="AN22" s="46" t="s">
        <v>563</v>
      </c>
      <c r="AO22" s="46" t="s">
        <v>158</v>
      </c>
    </row>
    <row r="23" spans="2:41" ht="15.75" customHeight="1" x14ac:dyDescent="0.25">
      <c r="B23" s="44" t="s">
        <v>109</v>
      </c>
      <c r="C23" s="47"/>
      <c r="D23" s="46" t="s">
        <v>169</v>
      </c>
      <c r="E23" s="47"/>
      <c r="F23" s="46" t="s">
        <v>214</v>
      </c>
      <c r="G23" s="47"/>
      <c r="H23" s="47"/>
      <c r="I23" s="46" t="s">
        <v>288</v>
      </c>
      <c r="J23" s="46" t="s">
        <v>308</v>
      </c>
      <c r="K23" s="47"/>
      <c r="L23" s="47"/>
      <c r="M23" s="47"/>
      <c r="N23" s="46" t="s">
        <v>401</v>
      </c>
      <c r="O23" s="47"/>
      <c r="P23" s="47"/>
      <c r="Q23" s="47"/>
      <c r="R23" s="47"/>
      <c r="S23" s="46" t="s">
        <v>503</v>
      </c>
      <c r="T23" s="47"/>
      <c r="U23" s="46" t="s">
        <v>349</v>
      </c>
      <c r="V23" s="45" t="s">
        <v>129</v>
      </c>
      <c r="W23" s="46" t="s">
        <v>564</v>
      </c>
      <c r="X23" s="46" t="s">
        <v>565</v>
      </c>
      <c r="Y23" s="46" t="s">
        <v>566</v>
      </c>
      <c r="Z23" s="46" t="s">
        <v>567</v>
      </c>
      <c r="AA23" s="46" t="s">
        <v>568</v>
      </c>
      <c r="AB23" s="47"/>
      <c r="AC23" s="46" t="s">
        <v>229</v>
      </c>
      <c r="AD23" s="46" t="s">
        <v>389</v>
      </c>
      <c r="AE23" s="46" t="s">
        <v>569</v>
      </c>
      <c r="AF23" s="46" t="s">
        <v>309</v>
      </c>
      <c r="AG23" s="46" t="s">
        <v>570</v>
      </c>
      <c r="AH23" s="46" t="s">
        <v>422</v>
      </c>
      <c r="AI23" s="46" t="s">
        <v>422</v>
      </c>
      <c r="AJ23" s="46" t="s">
        <v>571</v>
      </c>
      <c r="AK23" s="46" t="s">
        <v>492</v>
      </c>
      <c r="AL23" s="46" t="s">
        <v>259</v>
      </c>
      <c r="AM23" s="46" t="s">
        <v>572</v>
      </c>
      <c r="AN23" s="46" t="s">
        <v>573</v>
      </c>
      <c r="AO23" s="46" t="s">
        <v>574</v>
      </c>
    </row>
    <row r="24" spans="2:41" ht="15.75" customHeight="1" x14ac:dyDescent="0.25">
      <c r="B24" s="44" t="s">
        <v>110</v>
      </c>
      <c r="C24" s="46" t="s">
        <v>575</v>
      </c>
      <c r="D24" s="47"/>
      <c r="E24" s="46" t="s">
        <v>576</v>
      </c>
      <c r="F24" s="47"/>
      <c r="G24" s="46" t="s">
        <v>577</v>
      </c>
      <c r="H24" s="47"/>
      <c r="I24" s="46" t="s">
        <v>578</v>
      </c>
      <c r="J24" s="47"/>
      <c r="K24" s="46" t="s">
        <v>329</v>
      </c>
      <c r="L24" s="46" t="s">
        <v>579</v>
      </c>
      <c r="M24" s="46" t="s">
        <v>577</v>
      </c>
      <c r="N24" s="46" t="s">
        <v>578</v>
      </c>
      <c r="O24" s="46" t="s">
        <v>413</v>
      </c>
      <c r="P24" s="46" t="s">
        <v>138</v>
      </c>
      <c r="Q24" s="46" t="s">
        <v>580</v>
      </c>
      <c r="R24" s="47"/>
      <c r="S24" s="46" t="s">
        <v>581</v>
      </c>
      <c r="T24" s="46" t="s">
        <v>582</v>
      </c>
      <c r="U24" s="46" t="s">
        <v>583</v>
      </c>
      <c r="V24" s="46" t="s">
        <v>584</v>
      </c>
      <c r="W24" s="45" t="s">
        <v>129</v>
      </c>
      <c r="X24" s="46" t="s">
        <v>585</v>
      </c>
      <c r="Y24" s="46" t="s">
        <v>586</v>
      </c>
      <c r="Z24" s="46" t="s">
        <v>587</v>
      </c>
      <c r="AA24" s="46" t="s">
        <v>588</v>
      </c>
      <c r="AB24" s="46" t="s">
        <v>589</v>
      </c>
      <c r="AC24" s="46" t="s">
        <v>375</v>
      </c>
      <c r="AD24" s="46" t="s">
        <v>354</v>
      </c>
      <c r="AE24" s="46" t="s">
        <v>452</v>
      </c>
      <c r="AF24" s="46" t="s">
        <v>590</v>
      </c>
      <c r="AG24" s="46" t="s">
        <v>591</v>
      </c>
      <c r="AH24" s="46" t="s">
        <v>592</v>
      </c>
      <c r="AI24" s="46" t="s">
        <v>593</v>
      </c>
      <c r="AJ24" s="46" t="s">
        <v>594</v>
      </c>
      <c r="AK24" s="46" t="s">
        <v>595</v>
      </c>
      <c r="AL24" s="46" t="s">
        <v>596</v>
      </c>
      <c r="AM24" s="46" t="s">
        <v>597</v>
      </c>
      <c r="AN24" s="46" t="s">
        <v>479</v>
      </c>
      <c r="AO24" s="46" t="s">
        <v>598</v>
      </c>
    </row>
    <row r="25" spans="2:41" ht="15.75" customHeight="1" x14ac:dyDescent="0.25">
      <c r="B25" s="44" t="s">
        <v>111</v>
      </c>
      <c r="C25" s="46" t="s">
        <v>599</v>
      </c>
      <c r="D25" s="46" t="s">
        <v>600</v>
      </c>
      <c r="E25" s="46" t="s">
        <v>601</v>
      </c>
      <c r="F25" s="47"/>
      <c r="G25" s="46" t="s">
        <v>289</v>
      </c>
      <c r="H25" s="47"/>
      <c r="I25" s="46" t="s">
        <v>602</v>
      </c>
      <c r="J25" s="47"/>
      <c r="K25" s="46" t="s">
        <v>540</v>
      </c>
      <c r="L25" s="46" t="s">
        <v>359</v>
      </c>
      <c r="M25" s="46" t="s">
        <v>603</v>
      </c>
      <c r="N25" s="46" t="s">
        <v>604</v>
      </c>
      <c r="O25" s="46" t="s">
        <v>603</v>
      </c>
      <c r="P25" s="46" t="s">
        <v>605</v>
      </c>
      <c r="Q25" s="46" t="s">
        <v>606</v>
      </c>
      <c r="R25" s="47"/>
      <c r="S25" s="46" t="s">
        <v>518</v>
      </c>
      <c r="T25" s="46" t="s">
        <v>424</v>
      </c>
      <c r="U25" s="46" t="s">
        <v>607</v>
      </c>
      <c r="V25" s="46" t="s">
        <v>540</v>
      </c>
      <c r="W25" s="46" t="s">
        <v>585</v>
      </c>
      <c r="X25" s="45" t="s">
        <v>129</v>
      </c>
      <c r="Y25" s="46" t="s">
        <v>608</v>
      </c>
      <c r="Z25" s="46" t="s">
        <v>292</v>
      </c>
      <c r="AA25" s="46" t="s">
        <v>609</v>
      </c>
      <c r="AB25" s="46" t="s">
        <v>610</v>
      </c>
      <c r="AC25" s="46" t="s">
        <v>611</v>
      </c>
      <c r="AD25" s="46" t="s">
        <v>360</v>
      </c>
      <c r="AE25" s="46" t="s">
        <v>612</v>
      </c>
      <c r="AF25" s="46" t="s">
        <v>613</v>
      </c>
      <c r="AG25" s="46" t="s">
        <v>496</v>
      </c>
      <c r="AH25" s="46" t="s">
        <v>614</v>
      </c>
      <c r="AI25" s="46" t="s">
        <v>615</v>
      </c>
      <c r="AJ25" s="46" t="s">
        <v>615</v>
      </c>
      <c r="AK25" s="46" t="s">
        <v>616</v>
      </c>
      <c r="AL25" s="46" t="s">
        <v>617</v>
      </c>
      <c r="AM25" s="46" t="s">
        <v>296</v>
      </c>
      <c r="AN25" s="46" t="s">
        <v>382</v>
      </c>
      <c r="AO25" s="46" t="s">
        <v>618</v>
      </c>
    </row>
    <row r="26" spans="2:41" ht="15.75" customHeight="1" x14ac:dyDescent="0.25">
      <c r="B26" s="44" t="s">
        <v>112</v>
      </c>
      <c r="C26" s="46" t="s">
        <v>608</v>
      </c>
      <c r="D26" s="46" t="s">
        <v>609</v>
      </c>
      <c r="E26" s="46" t="s">
        <v>619</v>
      </c>
      <c r="F26" s="46" t="s">
        <v>450</v>
      </c>
      <c r="G26" s="46" t="s">
        <v>620</v>
      </c>
      <c r="H26" s="46" t="s">
        <v>357</v>
      </c>
      <c r="I26" s="46" t="s">
        <v>621</v>
      </c>
      <c r="J26" s="46" t="s">
        <v>622</v>
      </c>
      <c r="K26" s="46" t="s">
        <v>623</v>
      </c>
      <c r="L26" s="46" t="s">
        <v>624</v>
      </c>
      <c r="M26" s="46" t="s">
        <v>625</v>
      </c>
      <c r="N26" s="46" t="s">
        <v>626</v>
      </c>
      <c r="O26" s="46" t="s">
        <v>627</v>
      </c>
      <c r="P26" s="46" t="s">
        <v>628</v>
      </c>
      <c r="Q26" s="46" t="s">
        <v>629</v>
      </c>
      <c r="R26" s="46" t="s">
        <v>484</v>
      </c>
      <c r="S26" s="46" t="s">
        <v>630</v>
      </c>
      <c r="T26" s="46" t="s">
        <v>138</v>
      </c>
      <c r="U26" s="46" t="s">
        <v>497</v>
      </c>
      <c r="V26" s="46" t="s">
        <v>631</v>
      </c>
      <c r="W26" s="46" t="s">
        <v>312</v>
      </c>
      <c r="X26" s="46" t="s">
        <v>632</v>
      </c>
      <c r="Y26" s="45" t="s">
        <v>129</v>
      </c>
      <c r="Z26" s="46" t="s">
        <v>633</v>
      </c>
      <c r="AA26" s="46" t="s">
        <v>634</v>
      </c>
      <c r="AB26" s="46" t="s">
        <v>635</v>
      </c>
      <c r="AC26" s="46" t="s">
        <v>636</v>
      </c>
      <c r="AD26" s="46" t="s">
        <v>612</v>
      </c>
      <c r="AE26" s="46" t="s">
        <v>637</v>
      </c>
      <c r="AF26" s="46" t="s">
        <v>638</v>
      </c>
      <c r="AG26" s="46" t="s">
        <v>639</v>
      </c>
      <c r="AH26" s="46" t="s">
        <v>584</v>
      </c>
      <c r="AI26" s="46" t="s">
        <v>640</v>
      </c>
      <c r="AJ26" s="46" t="s">
        <v>641</v>
      </c>
      <c r="AK26" s="46" t="s">
        <v>642</v>
      </c>
      <c r="AL26" s="46" t="s">
        <v>643</v>
      </c>
      <c r="AM26" s="46" t="s">
        <v>572</v>
      </c>
      <c r="AN26" s="46" t="s">
        <v>314</v>
      </c>
      <c r="AO26" s="46" t="s">
        <v>644</v>
      </c>
    </row>
    <row r="27" spans="2:41" ht="15.75" customHeight="1" x14ac:dyDescent="0.25">
      <c r="B27" s="44" t="s">
        <v>113</v>
      </c>
      <c r="C27" s="47"/>
      <c r="D27" s="47"/>
      <c r="E27" s="46" t="s">
        <v>197</v>
      </c>
      <c r="F27" s="47"/>
      <c r="G27" s="46" t="s">
        <v>645</v>
      </c>
      <c r="H27" s="47"/>
      <c r="I27" s="46" t="s">
        <v>291</v>
      </c>
      <c r="J27" s="47"/>
      <c r="K27" s="46" t="s">
        <v>646</v>
      </c>
      <c r="L27" s="46" t="s">
        <v>647</v>
      </c>
      <c r="M27" s="46" t="s">
        <v>648</v>
      </c>
      <c r="N27" s="46" t="s">
        <v>649</v>
      </c>
      <c r="O27" s="46" t="s">
        <v>650</v>
      </c>
      <c r="P27" s="46" t="s">
        <v>651</v>
      </c>
      <c r="Q27" s="46" t="s">
        <v>411</v>
      </c>
      <c r="R27" s="46" t="s">
        <v>376</v>
      </c>
      <c r="S27" s="46" t="s">
        <v>292</v>
      </c>
      <c r="T27" s="46" t="s">
        <v>652</v>
      </c>
      <c r="U27" s="46" t="s">
        <v>653</v>
      </c>
      <c r="V27" s="46" t="s">
        <v>654</v>
      </c>
      <c r="W27" s="46" t="s">
        <v>360</v>
      </c>
      <c r="X27" s="46" t="s">
        <v>655</v>
      </c>
      <c r="Y27" s="46" t="s">
        <v>292</v>
      </c>
      <c r="Z27" s="45" t="s">
        <v>129</v>
      </c>
      <c r="AA27" s="46" t="s">
        <v>653</v>
      </c>
      <c r="AB27" s="46" t="s">
        <v>656</v>
      </c>
      <c r="AC27" s="46" t="s">
        <v>657</v>
      </c>
      <c r="AD27" s="46" t="s">
        <v>629</v>
      </c>
      <c r="AE27" s="46" t="s">
        <v>658</v>
      </c>
      <c r="AF27" s="46" t="s">
        <v>659</v>
      </c>
      <c r="AG27" s="46" t="s">
        <v>660</v>
      </c>
      <c r="AH27" s="46" t="s">
        <v>314</v>
      </c>
      <c r="AI27" s="46" t="s">
        <v>661</v>
      </c>
      <c r="AJ27" s="46" t="s">
        <v>662</v>
      </c>
      <c r="AK27" s="46" t="s">
        <v>642</v>
      </c>
      <c r="AL27" s="46" t="s">
        <v>252</v>
      </c>
      <c r="AM27" s="46" t="s">
        <v>572</v>
      </c>
      <c r="AN27" s="46" t="s">
        <v>663</v>
      </c>
      <c r="AO27" s="46" t="s">
        <v>197</v>
      </c>
    </row>
    <row r="28" spans="2:41" ht="15.75" customHeight="1" x14ac:dyDescent="0.25">
      <c r="B28" s="44" t="s">
        <v>114</v>
      </c>
      <c r="C28" s="46" t="s">
        <v>664</v>
      </c>
      <c r="D28" s="46" t="s">
        <v>665</v>
      </c>
      <c r="E28" s="46" t="s">
        <v>666</v>
      </c>
      <c r="F28" s="46" t="s">
        <v>447</v>
      </c>
      <c r="G28" s="46" t="s">
        <v>667</v>
      </c>
      <c r="H28" s="46" t="s">
        <v>668</v>
      </c>
      <c r="I28" s="46" t="s">
        <v>472</v>
      </c>
      <c r="J28" s="46" t="s">
        <v>669</v>
      </c>
      <c r="K28" s="46" t="s">
        <v>668</v>
      </c>
      <c r="L28" s="46" t="s">
        <v>467</v>
      </c>
      <c r="M28" s="46" t="s">
        <v>670</v>
      </c>
      <c r="N28" s="46" t="s">
        <v>671</v>
      </c>
      <c r="O28" s="46" t="s">
        <v>672</v>
      </c>
      <c r="P28" s="46" t="s">
        <v>673</v>
      </c>
      <c r="Q28" s="46" t="s">
        <v>674</v>
      </c>
      <c r="R28" s="46" t="s">
        <v>440</v>
      </c>
      <c r="S28" s="46" t="s">
        <v>675</v>
      </c>
      <c r="T28" s="46" t="s">
        <v>530</v>
      </c>
      <c r="U28" s="46" t="s">
        <v>588</v>
      </c>
      <c r="V28" s="46" t="s">
        <v>676</v>
      </c>
      <c r="W28" s="46" t="s">
        <v>609</v>
      </c>
      <c r="X28" s="46" t="s">
        <v>467</v>
      </c>
      <c r="Y28" s="46" t="s">
        <v>634</v>
      </c>
      <c r="Z28" s="46" t="s">
        <v>653</v>
      </c>
      <c r="AA28" s="45" t="s">
        <v>129</v>
      </c>
      <c r="AB28" s="46" t="s">
        <v>431</v>
      </c>
      <c r="AC28" s="46" t="s">
        <v>664</v>
      </c>
      <c r="AD28" s="46" t="s">
        <v>571</v>
      </c>
      <c r="AE28" s="46" t="s">
        <v>571</v>
      </c>
      <c r="AF28" s="46" t="s">
        <v>677</v>
      </c>
      <c r="AG28" s="46" t="s">
        <v>678</v>
      </c>
      <c r="AH28" s="46" t="s">
        <v>679</v>
      </c>
      <c r="AI28" s="46" t="s">
        <v>680</v>
      </c>
      <c r="AJ28" s="46" t="s">
        <v>571</v>
      </c>
      <c r="AK28" s="46" t="s">
        <v>681</v>
      </c>
      <c r="AL28" s="46" t="s">
        <v>682</v>
      </c>
      <c r="AM28" s="46" t="s">
        <v>683</v>
      </c>
      <c r="AN28" s="46" t="s">
        <v>518</v>
      </c>
      <c r="AO28" s="46" t="s">
        <v>684</v>
      </c>
    </row>
    <row r="29" spans="2:41" ht="15.75" customHeight="1" x14ac:dyDescent="0.25">
      <c r="B29" s="44" t="s">
        <v>115</v>
      </c>
      <c r="C29" s="46" t="s">
        <v>685</v>
      </c>
      <c r="D29" s="47"/>
      <c r="E29" s="46" t="s">
        <v>686</v>
      </c>
      <c r="F29" s="47"/>
      <c r="G29" s="46" t="s">
        <v>687</v>
      </c>
      <c r="H29" s="46" t="s">
        <v>688</v>
      </c>
      <c r="I29" s="46" t="s">
        <v>231</v>
      </c>
      <c r="J29" s="46" t="s">
        <v>689</v>
      </c>
      <c r="K29" s="46" t="s">
        <v>223</v>
      </c>
      <c r="L29" s="46" t="s">
        <v>690</v>
      </c>
      <c r="M29" s="46" t="s">
        <v>691</v>
      </c>
      <c r="N29" s="46" t="s">
        <v>596</v>
      </c>
      <c r="O29" s="46" t="s">
        <v>692</v>
      </c>
      <c r="P29" s="46" t="s">
        <v>693</v>
      </c>
      <c r="Q29" s="46" t="s">
        <v>694</v>
      </c>
      <c r="R29" s="47"/>
      <c r="S29" s="46" t="s">
        <v>287</v>
      </c>
      <c r="T29" s="46" t="s">
        <v>695</v>
      </c>
      <c r="U29" s="46" t="s">
        <v>551</v>
      </c>
      <c r="V29" s="47"/>
      <c r="W29" s="46" t="s">
        <v>692</v>
      </c>
      <c r="X29" s="46" t="s">
        <v>696</v>
      </c>
      <c r="Y29" s="46" t="s">
        <v>697</v>
      </c>
      <c r="Z29" s="46" t="s">
        <v>544</v>
      </c>
      <c r="AA29" s="46" t="s">
        <v>431</v>
      </c>
      <c r="AB29" s="45" t="s">
        <v>129</v>
      </c>
      <c r="AC29" s="46" t="s">
        <v>622</v>
      </c>
      <c r="AD29" s="46" t="s">
        <v>698</v>
      </c>
      <c r="AE29" s="46" t="s">
        <v>699</v>
      </c>
      <c r="AF29" s="46" t="s">
        <v>378</v>
      </c>
      <c r="AG29" s="46" t="s">
        <v>626</v>
      </c>
      <c r="AH29" s="46" t="s">
        <v>596</v>
      </c>
      <c r="AI29" s="46" t="s">
        <v>700</v>
      </c>
      <c r="AJ29" s="46" t="s">
        <v>636</v>
      </c>
      <c r="AK29" s="46" t="s">
        <v>479</v>
      </c>
      <c r="AL29" s="46" t="s">
        <v>667</v>
      </c>
      <c r="AM29" s="46" t="s">
        <v>701</v>
      </c>
      <c r="AN29" s="46" t="s">
        <v>518</v>
      </c>
      <c r="AO29" s="46" t="s">
        <v>702</v>
      </c>
    </row>
    <row r="30" spans="2:41" ht="15.75" customHeight="1" x14ac:dyDescent="0.25">
      <c r="B30" s="44" t="s">
        <v>116</v>
      </c>
      <c r="C30" s="46" t="s">
        <v>703</v>
      </c>
      <c r="D30" s="46" t="s">
        <v>704</v>
      </c>
      <c r="E30" s="46" t="s">
        <v>705</v>
      </c>
      <c r="F30" s="46" t="s">
        <v>706</v>
      </c>
      <c r="G30" s="46" t="s">
        <v>707</v>
      </c>
      <c r="H30" s="46" t="s">
        <v>708</v>
      </c>
      <c r="I30" s="46" t="s">
        <v>709</v>
      </c>
      <c r="J30" s="46" t="s">
        <v>710</v>
      </c>
      <c r="K30" s="46" t="s">
        <v>711</v>
      </c>
      <c r="L30" s="46" t="s">
        <v>712</v>
      </c>
      <c r="M30" s="46" t="s">
        <v>146</v>
      </c>
      <c r="N30" s="46" t="s">
        <v>713</v>
      </c>
      <c r="O30" s="46" t="s">
        <v>173</v>
      </c>
      <c r="P30" s="46" t="s">
        <v>479</v>
      </c>
      <c r="Q30" s="46" t="s">
        <v>714</v>
      </c>
      <c r="R30" s="46" t="s">
        <v>479</v>
      </c>
      <c r="S30" s="46" t="s">
        <v>715</v>
      </c>
      <c r="T30" s="46" t="s">
        <v>716</v>
      </c>
      <c r="U30" s="46" t="s">
        <v>553</v>
      </c>
      <c r="V30" s="46" t="s">
        <v>553</v>
      </c>
      <c r="W30" s="46" t="s">
        <v>375</v>
      </c>
      <c r="X30" s="46" t="s">
        <v>717</v>
      </c>
      <c r="Y30" s="46" t="s">
        <v>718</v>
      </c>
      <c r="Z30" s="46" t="s">
        <v>719</v>
      </c>
      <c r="AA30" s="46" t="s">
        <v>527</v>
      </c>
      <c r="AB30" s="46" t="s">
        <v>720</v>
      </c>
      <c r="AC30" s="45" t="s">
        <v>129</v>
      </c>
      <c r="AD30" s="46" t="s">
        <v>721</v>
      </c>
      <c r="AE30" s="46" t="s">
        <v>611</v>
      </c>
      <c r="AF30" s="46" t="s">
        <v>606</v>
      </c>
      <c r="AG30" s="46" t="s">
        <v>536</v>
      </c>
      <c r="AH30" s="46" t="s">
        <v>722</v>
      </c>
      <c r="AI30" s="46" t="s">
        <v>424</v>
      </c>
      <c r="AJ30" s="46" t="s">
        <v>641</v>
      </c>
      <c r="AK30" s="46" t="s">
        <v>723</v>
      </c>
      <c r="AL30" s="46" t="s">
        <v>724</v>
      </c>
      <c r="AM30" s="46" t="s">
        <v>725</v>
      </c>
      <c r="AN30" s="46" t="s">
        <v>726</v>
      </c>
      <c r="AO30" s="46" t="s">
        <v>683</v>
      </c>
    </row>
    <row r="31" spans="2:41" ht="15.75" customHeight="1" x14ac:dyDescent="0.25">
      <c r="B31" s="44" t="s">
        <v>117</v>
      </c>
      <c r="C31" s="46" t="s">
        <v>708</v>
      </c>
      <c r="D31" s="46" t="s">
        <v>727</v>
      </c>
      <c r="E31" s="46" t="s">
        <v>728</v>
      </c>
      <c r="F31" s="46" t="s">
        <v>250</v>
      </c>
      <c r="G31" s="46" t="s">
        <v>729</v>
      </c>
      <c r="H31" s="46" t="s">
        <v>729</v>
      </c>
      <c r="I31" s="46" t="s">
        <v>538</v>
      </c>
      <c r="J31" s="46" t="s">
        <v>730</v>
      </c>
      <c r="K31" s="46" t="s">
        <v>731</v>
      </c>
      <c r="L31" s="46" t="s">
        <v>731</v>
      </c>
      <c r="M31" s="46" t="s">
        <v>732</v>
      </c>
      <c r="N31" s="46" t="s">
        <v>731</v>
      </c>
      <c r="O31" s="46" t="s">
        <v>733</v>
      </c>
      <c r="P31" s="46" t="s">
        <v>734</v>
      </c>
      <c r="Q31" s="46" t="s">
        <v>732</v>
      </c>
      <c r="R31" s="46" t="s">
        <v>735</v>
      </c>
      <c r="S31" s="46" t="s">
        <v>708</v>
      </c>
      <c r="T31" s="46" t="s">
        <v>736</v>
      </c>
      <c r="U31" s="46" t="s">
        <v>150</v>
      </c>
      <c r="V31" s="46" t="s">
        <v>201</v>
      </c>
      <c r="W31" s="46" t="s">
        <v>364</v>
      </c>
      <c r="X31" s="46" t="s">
        <v>734</v>
      </c>
      <c r="Y31" s="46" t="s">
        <v>737</v>
      </c>
      <c r="Z31" s="46" t="s">
        <v>731</v>
      </c>
      <c r="AA31" s="46" t="s">
        <v>150</v>
      </c>
      <c r="AB31" s="46" t="s">
        <v>738</v>
      </c>
      <c r="AC31" s="46" t="s">
        <v>739</v>
      </c>
      <c r="AD31" s="45" t="s">
        <v>129</v>
      </c>
      <c r="AE31" s="46" t="s">
        <v>740</v>
      </c>
      <c r="AF31" s="46" t="s">
        <v>314</v>
      </c>
      <c r="AG31" s="46" t="s">
        <v>314</v>
      </c>
      <c r="AH31" s="46" t="s">
        <v>571</v>
      </c>
      <c r="AI31" s="46" t="s">
        <v>741</v>
      </c>
      <c r="AJ31" s="46" t="s">
        <v>708</v>
      </c>
      <c r="AK31" s="46" t="s">
        <v>742</v>
      </c>
      <c r="AL31" s="46" t="s">
        <v>553</v>
      </c>
      <c r="AM31" s="46" t="s">
        <v>743</v>
      </c>
      <c r="AN31" s="46" t="s">
        <v>744</v>
      </c>
      <c r="AO31" s="46" t="s">
        <v>538</v>
      </c>
    </row>
    <row r="32" spans="2:41" ht="15.75" customHeight="1" x14ac:dyDescent="0.25">
      <c r="B32" s="44" t="s">
        <v>118</v>
      </c>
      <c r="C32" s="46" t="s">
        <v>150</v>
      </c>
      <c r="D32" s="46" t="s">
        <v>745</v>
      </c>
      <c r="E32" s="46" t="s">
        <v>452</v>
      </c>
      <c r="F32" s="46" t="s">
        <v>746</v>
      </c>
      <c r="G32" s="46" t="s">
        <v>747</v>
      </c>
      <c r="H32" s="46" t="s">
        <v>748</v>
      </c>
      <c r="I32" s="46" t="s">
        <v>250</v>
      </c>
      <c r="J32" s="46" t="s">
        <v>730</v>
      </c>
      <c r="K32" s="46" t="s">
        <v>339</v>
      </c>
      <c r="L32" s="46" t="s">
        <v>749</v>
      </c>
      <c r="M32" s="46" t="s">
        <v>380</v>
      </c>
      <c r="N32" s="46" t="s">
        <v>750</v>
      </c>
      <c r="O32" s="46" t="s">
        <v>751</v>
      </c>
      <c r="P32" s="46" t="s">
        <v>752</v>
      </c>
      <c r="Q32" s="46" t="s">
        <v>753</v>
      </c>
      <c r="R32" s="47"/>
      <c r="S32" s="46" t="s">
        <v>754</v>
      </c>
      <c r="T32" s="46" t="s">
        <v>755</v>
      </c>
      <c r="U32" s="46" t="s">
        <v>756</v>
      </c>
      <c r="V32" s="46" t="s">
        <v>757</v>
      </c>
      <c r="W32" s="46" t="s">
        <v>298</v>
      </c>
      <c r="X32" s="46" t="s">
        <v>758</v>
      </c>
      <c r="Y32" s="46" t="s">
        <v>759</v>
      </c>
      <c r="Z32" s="46" t="s">
        <v>658</v>
      </c>
      <c r="AA32" s="46" t="s">
        <v>571</v>
      </c>
      <c r="AB32" s="46" t="s">
        <v>699</v>
      </c>
      <c r="AC32" s="46" t="s">
        <v>611</v>
      </c>
      <c r="AD32" s="46" t="s">
        <v>740</v>
      </c>
      <c r="AE32" s="45" t="s">
        <v>129</v>
      </c>
      <c r="AF32" s="46" t="s">
        <v>760</v>
      </c>
      <c r="AG32" s="46" t="s">
        <v>761</v>
      </c>
      <c r="AH32" s="46" t="s">
        <v>762</v>
      </c>
      <c r="AI32" s="46" t="s">
        <v>402</v>
      </c>
      <c r="AJ32" s="46" t="s">
        <v>763</v>
      </c>
      <c r="AK32" s="46" t="s">
        <v>764</v>
      </c>
      <c r="AL32" s="46" t="s">
        <v>765</v>
      </c>
      <c r="AM32" s="46" t="s">
        <v>766</v>
      </c>
      <c r="AN32" s="46" t="s">
        <v>733</v>
      </c>
      <c r="AO32" s="46" t="s">
        <v>364</v>
      </c>
    </row>
    <row r="33" spans="2:41" ht="15.75" customHeight="1" x14ac:dyDescent="0.25">
      <c r="B33" s="44" t="s">
        <v>119</v>
      </c>
      <c r="C33" s="46" t="s">
        <v>767</v>
      </c>
      <c r="D33" s="46" t="s">
        <v>768</v>
      </c>
      <c r="E33" s="46" t="s">
        <v>203</v>
      </c>
      <c r="F33" s="46" t="s">
        <v>769</v>
      </c>
      <c r="G33" s="46" t="s">
        <v>427</v>
      </c>
      <c r="H33" s="46" t="s">
        <v>269</v>
      </c>
      <c r="I33" s="46" t="s">
        <v>770</v>
      </c>
      <c r="J33" s="46" t="s">
        <v>771</v>
      </c>
      <c r="K33" s="46" t="s">
        <v>772</v>
      </c>
      <c r="L33" s="46" t="s">
        <v>773</v>
      </c>
      <c r="M33" s="46" t="s">
        <v>774</v>
      </c>
      <c r="N33" s="46" t="s">
        <v>775</v>
      </c>
      <c r="O33" s="46" t="s">
        <v>776</v>
      </c>
      <c r="P33" s="46" t="s">
        <v>160</v>
      </c>
      <c r="Q33" s="46" t="s">
        <v>777</v>
      </c>
      <c r="R33" s="46" t="s">
        <v>778</v>
      </c>
      <c r="S33" s="46" t="s">
        <v>779</v>
      </c>
      <c r="T33" s="46" t="s">
        <v>141</v>
      </c>
      <c r="U33" s="46" t="s">
        <v>410</v>
      </c>
      <c r="V33" s="46" t="s">
        <v>176</v>
      </c>
      <c r="W33" s="46" t="s">
        <v>780</v>
      </c>
      <c r="X33" s="46" t="s">
        <v>613</v>
      </c>
      <c r="Y33" s="46" t="s">
        <v>566</v>
      </c>
      <c r="Z33" s="46" t="s">
        <v>659</v>
      </c>
      <c r="AA33" s="46" t="s">
        <v>781</v>
      </c>
      <c r="AB33" s="46" t="s">
        <v>782</v>
      </c>
      <c r="AC33" s="46" t="s">
        <v>566</v>
      </c>
      <c r="AD33" s="46" t="s">
        <v>567</v>
      </c>
      <c r="AE33" s="46" t="s">
        <v>482</v>
      </c>
      <c r="AF33" s="45" t="s">
        <v>129</v>
      </c>
      <c r="AG33" s="46" t="s">
        <v>783</v>
      </c>
      <c r="AH33" s="46" t="s">
        <v>784</v>
      </c>
      <c r="AI33" s="46" t="s">
        <v>175</v>
      </c>
      <c r="AJ33" s="46" t="s">
        <v>785</v>
      </c>
      <c r="AK33" s="46" t="s">
        <v>472</v>
      </c>
      <c r="AL33" s="46" t="s">
        <v>374</v>
      </c>
      <c r="AM33" s="46" t="s">
        <v>786</v>
      </c>
      <c r="AN33" s="46" t="s">
        <v>412</v>
      </c>
      <c r="AO33" s="46" t="s">
        <v>787</v>
      </c>
    </row>
    <row r="34" spans="2:41" ht="15.75" customHeight="1" x14ac:dyDescent="0.25">
      <c r="B34" s="44" t="s">
        <v>120</v>
      </c>
      <c r="C34" s="46" t="s">
        <v>788</v>
      </c>
      <c r="D34" s="46" t="s">
        <v>387</v>
      </c>
      <c r="E34" s="46" t="s">
        <v>789</v>
      </c>
      <c r="F34" s="46" t="s">
        <v>790</v>
      </c>
      <c r="G34" s="46" t="s">
        <v>791</v>
      </c>
      <c r="H34" s="46" t="s">
        <v>792</v>
      </c>
      <c r="I34" s="46" t="s">
        <v>793</v>
      </c>
      <c r="J34" s="46" t="s">
        <v>794</v>
      </c>
      <c r="K34" s="46" t="s">
        <v>364</v>
      </c>
      <c r="L34" s="46" t="s">
        <v>795</v>
      </c>
      <c r="M34" s="46" t="s">
        <v>796</v>
      </c>
      <c r="N34" s="46" t="s">
        <v>427</v>
      </c>
      <c r="O34" s="46" t="s">
        <v>797</v>
      </c>
      <c r="P34" s="46" t="s">
        <v>798</v>
      </c>
      <c r="Q34" s="46" t="s">
        <v>499</v>
      </c>
      <c r="R34" s="46" t="s">
        <v>799</v>
      </c>
      <c r="S34" s="46" t="s">
        <v>386</v>
      </c>
      <c r="T34" s="46" t="s">
        <v>800</v>
      </c>
      <c r="U34" s="46" t="s">
        <v>801</v>
      </c>
      <c r="V34" s="46" t="s">
        <v>802</v>
      </c>
      <c r="W34" s="46" t="s">
        <v>780</v>
      </c>
      <c r="X34" s="46" t="s">
        <v>496</v>
      </c>
      <c r="Y34" s="46" t="s">
        <v>437</v>
      </c>
      <c r="Z34" s="46" t="s">
        <v>660</v>
      </c>
      <c r="AA34" s="46" t="s">
        <v>678</v>
      </c>
      <c r="AB34" s="46" t="s">
        <v>626</v>
      </c>
      <c r="AC34" s="46" t="s">
        <v>481</v>
      </c>
      <c r="AD34" s="46" t="s">
        <v>803</v>
      </c>
      <c r="AE34" s="46" t="s">
        <v>804</v>
      </c>
      <c r="AF34" s="46" t="s">
        <v>783</v>
      </c>
      <c r="AG34" s="45" t="s">
        <v>129</v>
      </c>
      <c r="AH34" s="46" t="s">
        <v>805</v>
      </c>
      <c r="AI34" s="46" t="s">
        <v>502</v>
      </c>
      <c r="AJ34" s="46" t="s">
        <v>806</v>
      </c>
      <c r="AK34" s="46" t="s">
        <v>807</v>
      </c>
      <c r="AL34" s="46" t="s">
        <v>808</v>
      </c>
      <c r="AM34" s="46" t="s">
        <v>809</v>
      </c>
      <c r="AN34" s="46" t="s">
        <v>782</v>
      </c>
      <c r="AO34" s="46" t="s">
        <v>566</v>
      </c>
    </row>
    <row r="35" spans="2:41" ht="15.75" customHeight="1" x14ac:dyDescent="0.25">
      <c r="B35" s="44" t="s">
        <v>121</v>
      </c>
      <c r="C35" s="46" t="s">
        <v>810</v>
      </c>
      <c r="D35" s="46" t="s">
        <v>811</v>
      </c>
      <c r="E35" s="46" t="s">
        <v>577</v>
      </c>
      <c r="F35" s="46" t="s">
        <v>812</v>
      </c>
      <c r="G35" s="46" t="s">
        <v>813</v>
      </c>
      <c r="H35" s="46" t="s">
        <v>813</v>
      </c>
      <c r="I35" s="46" t="s">
        <v>814</v>
      </c>
      <c r="J35" s="46" t="s">
        <v>815</v>
      </c>
      <c r="K35" s="46" t="s">
        <v>816</v>
      </c>
      <c r="L35" s="46" t="s">
        <v>415</v>
      </c>
      <c r="M35" s="46" t="s">
        <v>571</v>
      </c>
      <c r="N35" s="46" t="s">
        <v>253</v>
      </c>
      <c r="O35" s="46" t="s">
        <v>455</v>
      </c>
      <c r="P35" s="46" t="s">
        <v>455</v>
      </c>
      <c r="Q35" s="46" t="s">
        <v>254</v>
      </c>
      <c r="R35" s="46" t="s">
        <v>817</v>
      </c>
      <c r="S35" s="46" t="s">
        <v>818</v>
      </c>
      <c r="T35" s="46" t="s">
        <v>819</v>
      </c>
      <c r="U35" s="46" t="s">
        <v>526</v>
      </c>
      <c r="V35" s="46" t="s">
        <v>677</v>
      </c>
      <c r="W35" s="46" t="s">
        <v>592</v>
      </c>
      <c r="X35" s="46" t="s">
        <v>820</v>
      </c>
      <c r="Y35" s="46" t="s">
        <v>821</v>
      </c>
      <c r="Z35" s="46" t="s">
        <v>822</v>
      </c>
      <c r="AA35" s="46" t="s">
        <v>679</v>
      </c>
      <c r="AB35" s="46" t="s">
        <v>823</v>
      </c>
      <c r="AC35" s="46" t="s">
        <v>641</v>
      </c>
      <c r="AD35" s="46" t="s">
        <v>571</v>
      </c>
      <c r="AE35" s="46" t="s">
        <v>824</v>
      </c>
      <c r="AF35" s="46" t="s">
        <v>784</v>
      </c>
      <c r="AG35" s="46" t="s">
        <v>215</v>
      </c>
      <c r="AH35" s="45" t="s">
        <v>129</v>
      </c>
      <c r="AI35" s="46" t="s">
        <v>762</v>
      </c>
      <c r="AJ35" s="46" t="s">
        <v>824</v>
      </c>
      <c r="AK35" s="46" t="s">
        <v>825</v>
      </c>
      <c r="AL35" s="46" t="s">
        <v>826</v>
      </c>
      <c r="AM35" s="46" t="s">
        <v>827</v>
      </c>
      <c r="AN35" s="46" t="s">
        <v>828</v>
      </c>
      <c r="AO35" s="46" t="s">
        <v>316</v>
      </c>
    </row>
    <row r="36" spans="2:41" ht="15.75" customHeight="1" x14ac:dyDescent="0.25">
      <c r="B36" s="44" t="s">
        <v>122</v>
      </c>
      <c r="C36" s="46" t="s">
        <v>829</v>
      </c>
      <c r="D36" s="46" t="s">
        <v>830</v>
      </c>
      <c r="E36" s="46" t="s">
        <v>208</v>
      </c>
      <c r="F36" s="46" t="s">
        <v>209</v>
      </c>
      <c r="G36" s="46" t="s">
        <v>831</v>
      </c>
      <c r="H36" s="46" t="s">
        <v>832</v>
      </c>
      <c r="I36" s="46" t="s">
        <v>833</v>
      </c>
      <c r="J36" s="46" t="s">
        <v>325</v>
      </c>
      <c r="K36" s="46" t="s">
        <v>834</v>
      </c>
      <c r="L36" s="46" t="s">
        <v>835</v>
      </c>
      <c r="M36" s="46" t="s">
        <v>836</v>
      </c>
      <c r="N36" s="46" t="s">
        <v>837</v>
      </c>
      <c r="O36" s="46" t="s">
        <v>838</v>
      </c>
      <c r="P36" s="46" t="s">
        <v>299</v>
      </c>
      <c r="Q36" s="46" t="s">
        <v>819</v>
      </c>
      <c r="R36" s="46" t="s">
        <v>526</v>
      </c>
      <c r="S36" s="46" t="s">
        <v>468</v>
      </c>
      <c r="T36" s="46" t="s">
        <v>414</v>
      </c>
      <c r="U36" s="46" t="s">
        <v>571</v>
      </c>
      <c r="V36" s="46" t="s">
        <v>839</v>
      </c>
      <c r="W36" s="46" t="s">
        <v>840</v>
      </c>
      <c r="X36" s="46" t="s">
        <v>841</v>
      </c>
      <c r="Y36" s="46" t="s">
        <v>842</v>
      </c>
      <c r="Z36" s="46" t="s">
        <v>843</v>
      </c>
      <c r="AA36" s="46" t="s">
        <v>844</v>
      </c>
      <c r="AB36" s="46" t="s">
        <v>845</v>
      </c>
      <c r="AC36" s="46" t="s">
        <v>264</v>
      </c>
      <c r="AD36" s="46" t="s">
        <v>846</v>
      </c>
      <c r="AE36" s="46" t="s">
        <v>847</v>
      </c>
      <c r="AF36" s="46" t="s">
        <v>447</v>
      </c>
      <c r="AG36" s="46" t="s">
        <v>848</v>
      </c>
      <c r="AH36" s="46" t="s">
        <v>810</v>
      </c>
      <c r="AI36" s="45" t="s">
        <v>129</v>
      </c>
      <c r="AJ36" s="46" t="s">
        <v>849</v>
      </c>
      <c r="AK36" s="46" t="s">
        <v>812</v>
      </c>
      <c r="AL36" s="46" t="s">
        <v>850</v>
      </c>
      <c r="AM36" s="46" t="s">
        <v>851</v>
      </c>
      <c r="AN36" s="46" t="s">
        <v>852</v>
      </c>
      <c r="AO36" s="46" t="s">
        <v>853</v>
      </c>
    </row>
    <row r="37" spans="2:41" ht="15.75" customHeight="1" x14ac:dyDescent="0.25">
      <c r="B37" s="44" t="s">
        <v>123</v>
      </c>
      <c r="C37" s="46" t="s">
        <v>854</v>
      </c>
      <c r="D37" s="46" t="s">
        <v>854</v>
      </c>
      <c r="E37" s="46" t="s">
        <v>643</v>
      </c>
      <c r="F37" s="46" t="s">
        <v>855</v>
      </c>
      <c r="G37" s="46" t="s">
        <v>856</v>
      </c>
      <c r="H37" s="46" t="s">
        <v>857</v>
      </c>
      <c r="I37" s="46" t="s">
        <v>849</v>
      </c>
      <c r="J37" s="46" t="s">
        <v>603</v>
      </c>
      <c r="K37" s="46" t="s">
        <v>858</v>
      </c>
      <c r="L37" s="46" t="s">
        <v>859</v>
      </c>
      <c r="M37" s="46" t="s">
        <v>860</v>
      </c>
      <c r="N37" s="46" t="s">
        <v>861</v>
      </c>
      <c r="O37" s="46" t="s">
        <v>458</v>
      </c>
      <c r="P37" s="46" t="s">
        <v>253</v>
      </c>
      <c r="Q37" s="46" t="s">
        <v>764</v>
      </c>
      <c r="R37" s="46" t="s">
        <v>862</v>
      </c>
      <c r="S37" s="46" t="s">
        <v>863</v>
      </c>
      <c r="T37" s="46" t="s">
        <v>864</v>
      </c>
      <c r="U37" s="46" t="s">
        <v>865</v>
      </c>
      <c r="V37" s="46" t="s">
        <v>866</v>
      </c>
      <c r="W37" s="46" t="s">
        <v>175</v>
      </c>
      <c r="X37" s="46" t="s">
        <v>867</v>
      </c>
      <c r="Y37" s="46" t="s">
        <v>868</v>
      </c>
      <c r="Z37" s="46" t="s">
        <v>869</v>
      </c>
      <c r="AA37" s="46" t="s">
        <v>678</v>
      </c>
      <c r="AB37" s="46" t="s">
        <v>824</v>
      </c>
      <c r="AC37" s="46" t="s">
        <v>870</v>
      </c>
      <c r="AD37" s="46" t="s">
        <v>338</v>
      </c>
      <c r="AE37" s="46" t="s">
        <v>871</v>
      </c>
      <c r="AF37" s="46" t="s">
        <v>872</v>
      </c>
      <c r="AG37" s="46" t="s">
        <v>873</v>
      </c>
      <c r="AH37" s="46" t="s">
        <v>824</v>
      </c>
      <c r="AI37" s="46" t="s">
        <v>849</v>
      </c>
      <c r="AJ37" s="45" t="s">
        <v>129</v>
      </c>
      <c r="AK37" s="46" t="s">
        <v>874</v>
      </c>
      <c r="AL37" s="46" t="s">
        <v>875</v>
      </c>
      <c r="AM37" s="46" t="s">
        <v>876</v>
      </c>
      <c r="AN37" s="46" t="s">
        <v>877</v>
      </c>
      <c r="AO37" s="46" t="s">
        <v>878</v>
      </c>
    </row>
    <row r="38" spans="2:41" ht="15.75" customHeight="1" x14ac:dyDescent="0.25">
      <c r="B38" s="44" t="s">
        <v>124</v>
      </c>
      <c r="C38" s="46" t="s">
        <v>879</v>
      </c>
      <c r="D38" s="46" t="s">
        <v>880</v>
      </c>
      <c r="E38" s="46" t="s">
        <v>812</v>
      </c>
      <c r="F38" s="46" t="s">
        <v>881</v>
      </c>
      <c r="G38" s="46" t="s">
        <v>882</v>
      </c>
      <c r="H38" s="46" t="s">
        <v>264</v>
      </c>
      <c r="I38" s="46" t="s">
        <v>883</v>
      </c>
      <c r="J38" s="46" t="s">
        <v>884</v>
      </c>
      <c r="K38" s="46" t="s">
        <v>885</v>
      </c>
      <c r="L38" s="46" t="s">
        <v>886</v>
      </c>
      <c r="M38" s="46" t="s">
        <v>264</v>
      </c>
      <c r="N38" s="46" t="s">
        <v>887</v>
      </c>
      <c r="O38" s="46" t="s">
        <v>888</v>
      </c>
      <c r="P38" s="46" t="s">
        <v>883</v>
      </c>
      <c r="Q38" s="46" t="s">
        <v>889</v>
      </c>
      <c r="R38" s="46" t="s">
        <v>264</v>
      </c>
      <c r="S38" s="46" t="s">
        <v>890</v>
      </c>
      <c r="T38" s="46" t="s">
        <v>440</v>
      </c>
      <c r="U38" s="46" t="s">
        <v>693</v>
      </c>
      <c r="V38" s="46" t="s">
        <v>891</v>
      </c>
      <c r="W38" s="46" t="s">
        <v>892</v>
      </c>
      <c r="X38" s="46" t="s">
        <v>893</v>
      </c>
      <c r="Y38" s="46" t="s">
        <v>623</v>
      </c>
      <c r="Z38" s="46" t="s">
        <v>894</v>
      </c>
      <c r="AA38" s="46" t="s">
        <v>895</v>
      </c>
      <c r="AB38" s="46" t="s">
        <v>896</v>
      </c>
      <c r="AC38" s="46" t="s">
        <v>497</v>
      </c>
      <c r="AD38" s="46" t="s">
        <v>897</v>
      </c>
      <c r="AE38" s="46" t="s">
        <v>898</v>
      </c>
      <c r="AF38" s="46" t="s">
        <v>899</v>
      </c>
      <c r="AG38" s="46" t="s">
        <v>900</v>
      </c>
      <c r="AH38" s="46" t="s">
        <v>901</v>
      </c>
      <c r="AI38" s="46" t="s">
        <v>812</v>
      </c>
      <c r="AJ38" s="46" t="s">
        <v>902</v>
      </c>
      <c r="AK38" s="45" t="s">
        <v>129</v>
      </c>
      <c r="AL38" s="46" t="s">
        <v>903</v>
      </c>
      <c r="AM38" s="46" t="s">
        <v>706</v>
      </c>
      <c r="AN38" s="46" t="s">
        <v>904</v>
      </c>
      <c r="AO38" s="46" t="s">
        <v>455</v>
      </c>
    </row>
    <row r="39" spans="2:41" ht="15.75" customHeight="1" x14ac:dyDescent="0.25">
      <c r="B39" s="44" t="s">
        <v>125</v>
      </c>
      <c r="C39" s="46" t="s">
        <v>905</v>
      </c>
      <c r="D39" s="46" t="s">
        <v>906</v>
      </c>
      <c r="E39" s="46" t="s">
        <v>907</v>
      </c>
      <c r="F39" s="46" t="s">
        <v>905</v>
      </c>
      <c r="G39" s="46" t="s">
        <v>908</v>
      </c>
      <c r="H39" s="46" t="s">
        <v>909</v>
      </c>
      <c r="I39" s="46" t="s">
        <v>235</v>
      </c>
      <c r="J39" s="46" t="s">
        <v>579</v>
      </c>
      <c r="K39" s="46" t="s">
        <v>910</v>
      </c>
      <c r="L39" s="46" t="s">
        <v>607</v>
      </c>
      <c r="M39" s="46" t="s">
        <v>225</v>
      </c>
      <c r="N39" s="46" t="s">
        <v>886</v>
      </c>
      <c r="O39" s="46" t="s">
        <v>911</v>
      </c>
      <c r="P39" s="46" t="s">
        <v>504</v>
      </c>
      <c r="Q39" s="46" t="s">
        <v>455</v>
      </c>
      <c r="R39" s="46" t="s">
        <v>900</v>
      </c>
      <c r="S39" s="46" t="s">
        <v>754</v>
      </c>
      <c r="T39" s="46" t="s">
        <v>582</v>
      </c>
      <c r="U39" s="46" t="s">
        <v>912</v>
      </c>
      <c r="V39" s="46" t="s">
        <v>468</v>
      </c>
      <c r="W39" s="46" t="s">
        <v>542</v>
      </c>
      <c r="X39" s="46" t="s">
        <v>913</v>
      </c>
      <c r="Y39" s="46" t="s">
        <v>698</v>
      </c>
      <c r="Z39" s="46" t="s">
        <v>422</v>
      </c>
      <c r="AA39" s="46" t="s">
        <v>914</v>
      </c>
      <c r="AB39" s="46" t="s">
        <v>915</v>
      </c>
      <c r="AC39" s="46" t="s">
        <v>916</v>
      </c>
      <c r="AD39" s="46" t="s">
        <v>917</v>
      </c>
      <c r="AE39" s="46" t="s">
        <v>918</v>
      </c>
      <c r="AF39" s="46" t="s">
        <v>919</v>
      </c>
      <c r="AG39" s="46" t="s">
        <v>920</v>
      </c>
      <c r="AH39" s="46" t="s">
        <v>921</v>
      </c>
      <c r="AI39" s="46" t="s">
        <v>922</v>
      </c>
      <c r="AJ39" s="46" t="s">
        <v>904</v>
      </c>
      <c r="AK39" s="46" t="s">
        <v>225</v>
      </c>
      <c r="AL39" s="45" t="s">
        <v>129</v>
      </c>
      <c r="AM39" s="46" t="s">
        <v>616</v>
      </c>
      <c r="AN39" s="46" t="s">
        <v>923</v>
      </c>
      <c r="AO39" s="46" t="s">
        <v>924</v>
      </c>
    </row>
    <row r="40" spans="2:41" ht="15.75" customHeight="1" x14ac:dyDescent="0.25">
      <c r="B40" s="44" t="s">
        <v>126</v>
      </c>
      <c r="C40" s="46" t="s">
        <v>158</v>
      </c>
      <c r="D40" s="46" t="s">
        <v>925</v>
      </c>
      <c r="E40" s="46" t="s">
        <v>158</v>
      </c>
      <c r="F40" s="46" t="s">
        <v>926</v>
      </c>
      <c r="G40" s="46" t="s">
        <v>255</v>
      </c>
      <c r="H40" s="46" t="s">
        <v>927</v>
      </c>
      <c r="I40" s="46" t="s">
        <v>246</v>
      </c>
      <c r="J40" s="46" t="s">
        <v>928</v>
      </c>
      <c r="K40" s="46" t="s">
        <v>929</v>
      </c>
      <c r="L40" s="46" t="s">
        <v>368</v>
      </c>
      <c r="M40" s="46" t="s">
        <v>280</v>
      </c>
      <c r="N40" s="46" t="s">
        <v>271</v>
      </c>
      <c r="O40" s="46" t="s">
        <v>930</v>
      </c>
      <c r="P40" s="46" t="s">
        <v>931</v>
      </c>
      <c r="Q40" s="46" t="s">
        <v>368</v>
      </c>
      <c r="R40" s="47"/>
      <c r="S40" s="46" t="s">
        <v>159</v>
      </c>
      <c r="T40" s="46" t="s">
        <v>931</v>
      </c>
      <c r="U40" s="46" t="s">
        <v>158</v>
      </c>
      <c r="V40" s="46" t="s">
        <v>932</v>
      </c>
      <c r="W40" s="46" t="s">
        <v>933</v>
      </c>
      <c r="X40" s="46" t="s">
        <v>929</v>
      </c>
      <c r="Y40" s="46" t="s">
        <v>934</v>
      </c>
      <c r="Z40" s="46" t="s">
        <v>935</v>
      </c>
      <c r="AA40" s="46" t="s">
        <v>159</v>
      </c>
      <c r="AB40" s="46" t="s">
        <v>936</v>
      </c>
      <c r="AC40" s="46" t="s">
        <v>931</v>
      </c>
      <c r="AD40" s="46" t="s">
        <v>937</v>
      </c>
      <c r="AE40" s="46" t="s">
        <v>937</v>
      </c>
      <c r="AF40" s="46" t="s">
        <v>622</v>
      </c>
      <c r="AG40" s="46" t="s">
        <v>570</v>
      </c>
      <c r="AH40" s="46" t="s">
        <v>827</v>
      </c>
      <c r="AI40" s="46" t="s">
        <v>938</v>
      </c>
      <c r="AJ40" s="46" t="s">
        <v>622</v>
      </c>
      <c r="AK40" s="46" t="s">
        <v>939</v>
      </c>
      <c r="AL40" s="46" t="s">
        <v>940</v>
      </c>
      <c r="AM40" s="45" t="s">
        <v>129</v>
      </c>
      <c r="AN40" s="46" t="s">
        <v>476</v>
      </c>
      <c r="AO40" s="46" t="s">
        <v>530</v>
      </c>
    </row>
    <row r="41" spans="2:41" ht="15.75" customHeight="1" x14ac:dyDescent="0.25">
      <c r="B41" s="44" t="s">
        <v>127</v>
      </c>
      <c r="C41" s="46" t="s">
        <v>158</v>
      </c>
      <c r="D41" s="46" t="s">
        <v>925</v>
      </c>
      <c r="E41" s="46" t="s">
        <v>941</v>
      </c>
      <c r="F41" s="46" t="s">
        <v>942</v>
      </c>
      <c r="G41" s="46" t="s">
        <v>943</v>
      </c>
      <c r="H41" s="46" t="s">
        <v>944</v>
      </c>
      <c r="I41" s="46" t="s">
        <v>229</v>
      </c>
      <c r="J41" s="46" t="s">
        <v>945</v>
      </c>
      <c r="K41" s="46" t="s">
        <v>946</v>
      </c>
      <c r="L41" s="46" t="s">
        <v>947</v>
      </c>
      <c r="M41" s="46" t="s">
        <v>948</v>
      </c>
      <c r="N41" s="46" t="s">
        <v>498</v>
      </c>
      <c r="O41" s="46" t="s">
        <v>949</v>
      </c>
      <c r="P41" s="46" t="s">
        <v>375</v>
      </c>
      <c r="Q41" s="46" t="s">
        <v>950</v>
      </c>
      <c r="R41" s="46" t="s">
        <v>951</v>
      </c>
      <c r="S41" s="46" t="s">
        <v>952</v>
      </c>
      <c r="T41" s="46" t="s">
        <v>953</v>
      </c>
      <c r="U41" s="46" t="s">
        <v>954</v>
      </c>
      <c r="V41" s="46" t="s">
        <v>802</v>
      </c>
      <c r="W41" s="46" t="s">
        <v>698</v>
      </c>
      <c r="X41" s="46" t="s">
        <v>364</v>
      </c>
      <c r="Y41" s="46" t="s">
        <v>300</v>
      </c>
      <c r="Z41" s="46" t="s">
        <v>955</v>
      </c>
      <c r="AA41" s="46" t="s">
        <v>956</v>
      </c>
      <c r="AB41" s="46" t="s">
        <v>584</v>
      </c>
      <c r="AC41" s="46" t="s">
        <v>931</v>
      </c>
      <c r="AD41" s="46" t="s">
        <v>744</v>
      </c>
      <c r="AE41" s="46" t="s">
        <v>764</v>
      </c>
      <c r="AF41" s="46" t="s">
        <v>957</v>
      </c>
      <c r="AG41" s="46" t="s">
        <v>958</v>
      </c>
      <c r="AH41" s="46" t="s">
        <v>959</v>
      </c>
      <c r="AI41" s="46" t="s">
        <v>960</v>
      </c>
      <c r="AJ41" s="46" t="s">
        <v>487</v>
      </c>
      <c r="AK41" s="46" t="s">
        <v>961</v>
      </c>
      <c r="AL41" s="46" t="s">
        <v>962</v>
      </c>
      <c r="AM41" s="46" t="s">
        <v>851</v>
      </c>
      <c r="AN41" s="45" t="s">
        <v>129</v>
      </c>
      <c r="AO41" s="46" t="s">
        <v>963</v>
      </c>
    </row>
    <row r="42" spans="2:41" ht="15.75" customHeight="1" x14ac:dyDescent="0.25">
      <c r="B42" s="44" t="s">
        <v>128</v>
      </c>
      <c r="C42" s="46" t="s">
        <v>159</v>
      </c>
      <c r="D42" s="46" t="s">
        <v>611</v>
      </c>
      <c r="E42" s="46" t="s">
        <v>964</v>
      </c>
      <c r="F42" s="46" t="s">
        <v>965</v>
      </c>
      <c r="G42" s="46" t="s">
        <v>966</v>
      </c>
      <c r="H42" s="46" t="s">
        <v>967</v>
      </c>
      <c r="I42" s="46" t="s">
        <v>968</v>
      </c>
      <c r="J42" s="46" t="s">
        <v>969</v>
      </c>
      <c r="K42" s="46" t="s">
        <v>368</v>
      </c>
      <c r="L42" s="46" t="s">
        <v>467</v>
      </c>
      <c r="M42" s="46" t="s">
        <v>335</v>
      </c>
      <c r="N42" s="46" t="s">
        <v>447</v>
      </c>
      <c r="O42" s="46" t="s">
        <v>970</v>
      </c>
      <c r="P42" s="46" t="s">
        <v>824</v>
      </c>
      <c r="Q42" s="46" t="s">
        <v>971</v>
      </c>
      <c r="R42" s="46" t="s">
        <v>972</v>
      </c>
      <c r="S42" s="46" t="s">
        <v>274</v>
      </c>
      <c r="T42" s="46" t="s">
        <v>973</v>
      </c>
      <c r="U42" s="46" t="s">
        <v>974</v>
      </c>
      <c r="V42" s="46" t="s">
        <v>498</v>
      </c>
      <c r="W42" s="46" t="s">
        <v>838</v>
      </c>
      <c r="X42" s="46" t="s">
        <v>786</v>
      </c>
      <c r="Y42" s="46" t="s">
        <v>975</v>
      </c>
      <c r="Z42" s="46" t="s">
        <v>976</v>
      </c>
      <c r="AA42" s="46" t="s">
        <v>672</v>
      </c>
      <c r="AB42" s="46" t="s">
        <v>977</v>
      </c>
      <c r="AC42" s="46" t="s">
        <v>978</v>
      </c>
      <c r="AD42" s="46" t="s">
        <v>677</v>
      </c>
      <c r="AE42" s="46" t="s">
        <v>979</v>
      </c>
      <c r="AF42" s="46" t="s">
        <v>229</v>
      </c>
      <c r="AG42" s="46" t="s">
        <v>455</v>
      </c>
      <c r="AH42" s="46" t="s">
        <v>980</v>
      </c>
      <c r="AI42" s="46" t="s">
        <v>838</v>
      </c>
      <c r="AJ42" s="46" t="s">
        <v>852</v>
      </c>
      <c r="AK42" s="46" t="s">
        <v>981</v>
      </c>
      <c r="AL42" s="46" t="s">
        <v>623</v>
      </c>
      <c r="AM42" s="46" t="s">
        <v>982</v>
      </c>
      <c r="AN42" s="46" t="s">
        <v>159</v>
      </c>
      <c r="AO42" s="45" t="s">
        <v>129</v>
      </c>
    </row>
  </sheetData>
  <mergeCells count="2">
    <mergeCell ref="B1:AN1"/>
    <mergeCell ref="B2:AN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C3483"/>
  </sheetPr>
  <dimension ref="B1:D55"/>
  <sheetViews>
    <sheetView showGridLines="0" zoomScaleNormal="100" workbookViewId="0"/>
  </sheetViews>
  <sheetFormatPr defaultColWidth="8.7109375" defaultRowHeight="15" x14ac:dyDescent="0.25"/>
  <cols>
    <col min="1" max="1" width="3" customWidth="1"/>
    <col min="2" max="2" width="22" customWidth="1"/>
    <col min="3" max="4" width="32" customWidth="1"/>
    <col min="5" max="5" width="3" customWidth="1"/>
  </cols>
  <sheetData>
    <row r="1" spans="2:4" ht="30" customHeight="1" x14ac:dyDescent="0.25">
      <c r="B1" s="106" t="s">
        <v>983</v>
      </c>
      <c r="C1" s="106"/>
      <c r="D1" s="106"/>
    </row>
    <row r="2" spans="2:4" ht="6" customHeight="1" x14ac:dyDescent="0.25"/>
    <row r="3" spans="2:4" ht="25.5" customHeight="1" x14ac:dyDescent="0.25">
      <c r="B3" s="107" t="s">
        <v>984</v>
      </c>
      <c r="C3" s="107"/>
      <c r="D3" s="107"/>
    </row>
    <row r="4" spans="2:4" ht="18" customHeight="1" x14ac:dyDescent="0.25">
      <c r="B4" s="108" t="s">
        <v>985</v>
      </c>
      <c r="C4" s="108"/>
      <c r="D4" s="108"/>
    </row>
    <row r="5" spans="2:4" ht="18" customHeight="1" x14ac:dyDescent="0.25">
      <c r="B5" s="19" t="s">
        <v>986</v>
      </c>
      <c r="C5" s="19" t="s">
        <v>987</v>
      </c>
      <c r="D5" s="19" t="s">
        <v>988</v>
      </c>
    </row>
    <row r="6" spans="2:4" ht="21.75" customHeight="1" x14ac:dyDescent="0.25">
      <c r="B6" s="48">
        <v>1</v>
      </c>
      <c r="C6" s="49" t="s">
        <v>989</v>
      </c>
      <c r="D6" s="50" t="s">
        <v>990</v>
      </c>
    </row>
    <row r="7" spans="2:4" ht="21.75" customHeight="1" x14ac:dyDescent="0.25">
      <c r="B7" s="51">
        <v>7</v>
      </c>
      <c r="C7" s="17" t="s">
        <v>991</v>
      </c>
      <c r="D7" s="52" t="s">
        <v>992</v>
      </c>
    </row>
    <row r="8" spans="2:4" ht="21.75" customHeight="1" x14ac:dyDescent="0.25">
      <c r="B8" s="48">
        <v>9</v>
      </c>
      <c r="C8" s="49" t="s">
        <v>993</v>
      </c>
      <c r="D8" s="50" t="s">
        <v>994</v>
      </c>
    </row>
    <row r="9" spans="2:4" ht="21.75" customHeight="1" x14ac:dyDescent="0.25">
      <c r="B9" s="51">
        <v>10</v>
      </c>
      <c r="C9" s="17" t="s">
        <v>995</v>
      </c>
      <c r="D9" s="52" t="s">
        <v>996</v>
      </c>
    </row>
    <row r="10" spans="2:4" ht="21.75" customHeight="1" x14ac:dyDescent="0.25">
      <c r="B10" s="48">
        <v>11</v>
      </c>
      <c r="C10" s="49" t="s">
        <v>997</v>
      </c>
      <c r="D10" s="50" t="s">
        <v>998</v>
      </c>
    </row>
    <row r="11" spans="2:4" ht="21.75" customHeight="1" x14ac:dyDescent="0.25">
      <c r="B11" s="51">
        <v>15</v>
      </c>
      <c r="C11" s="17" t="s">
        <v>999</v>
      </c>
      <c r="D11" s="52" t="s">
        <v>1000</v>
      </c>
    </row>
    <row r="12" spans="2:4" ht="21.75" customHeight="1" x14ac:dyDescent="0.25">
      <c r="B12" s="48">
        <v>18</v>
      </c>
      <c r="C12" s="49" t="s">
        <v>1001</v>
      </c>
      <c r="D12" s="50" t="s">
        <v>1002</v>
      </c>
    </row>
    <row r="13" spans="2:4" ht="21.75" customHeight="1" x14ac:dyDescent="0.25">
      <c r="B13" s="51">
        <v>19</v>
      </c>
      <c r="C13" s="17" t="s">
        <v>1003</v>
      </c>
      <c r="D13" s="52" t="s">
        <v>1004</v>
      </c>
    </row>
    <row r="14" spans="2:4" ht="21.75" customHeight="1" x14ac:dyDescent="0.25">
      <c r="B14" s="48">
        <v>21</v>
      </c>
      <c r="C14" s="49" t="s">
        <v>1005</v>
      </c>
      <c r="D14" s="50" t="s">
        <v>1006</v>
      </c>
    </row>
    <row r="15" spans="2:4" ht="21.75" customHeight="1" x14ac:dyDescent="0.25">
      <c r="B15" s="51">
        <v>34</v>
      </c>
      <c r="C15" s="17" t="s">
        <v>1007</v>
      </c>
      <c r="D15" s="52" t="s">
        <v>1008</v>
      </c>
    </row>
    <row r="16" spans="2:4" ht="6" customHeight="1" x14ac:dyDescent="0.25"/>
    <row r="17" spans="2:4" ht="25.5" customHeight="1" x14ac:dyDescent="0.25">
      <c r="B17" s="109" t="s">
        <v>1009</v>
      </c>
      <c r="C17" s="109"/>
      <c r="D17" s="109"/>
    </row>
    <row r="18" spans="2:4" ht="18" customHeight="1" x14ac:dyDescent="0.25">
      <c r="B18" s="108" t="s">
        <v>1010</v>
      </c>
      <c r="C18" s="108"/>
      <c r="D18" s="108"/>
    </row>
    <row r="19" spans="2:4" ht="18" customHeight="1" x14ac:dyDescent="0.25">
      <c r="B19" s="19" t="s">
        <v>986</v>
      </c>
      <c r="C19" s="19" t="s">
        <v>987</v>
      </c>
      <c r="D19" s="19" t="s">
        <v>988</v>
      </c>
    </row>
    <row r="20" spans="2:4" ht="21.75" customHeight="1" x14ac:dyDescent="0.25">
      <c r="B20" s="48">
        <v>1</v>
      </c>
      <c r="C20" s="49" t="s">
        <v>989</v>
      </c>
      <c r="D20" s="50" t="s">
        <v>1011</v>
      </c>
    </row>
    <row r="21" spans="2:4" ht="21.75" customHeight="1" x14ac:dyDescent="0.25">
      <c r="B21" s="51">
        <v>2</v>
      </c>
      <c r="C21" s="17" t="s">
        <v>1012</v>
      </c>
      <c r="D21" s="52" t="s">
        <v>1013</v>
      </c>
    </row>
    <row r="22" spans="2:4" ht="21.75" customHeight="1" x14ac:dyDescent="0.25">
      <c r="B22" s="48">
        <v>3</v>
      </c>
      <c r="C22" s="49" t="s">
        <v>1014</v>
      </c>
      <c r="D22" s="50" t="s">
        <v>1015</v>
      </c>
    </row>
    <row r="23" spans="2:4" ht="21.75" customHeight="1" x14ac:dyDescent="0.25">
      <c r="B23" s="51">
        <v>4</v>
      </c>
      <c r="C23" s="17" t="s">
        <v>1016</v>
      </c>
      <c r="D23" s="52" t="s">
        <v>1017</v>
      </c>
    </row>
    <row r="24" spans="2:4" ht="21.75" customHeight="1" x14ac:dyDescent="0.25">
      <c r="B24" s="48">
        <v>7</v>
      </c>
      <c r="C24" s="49" t="s">
        <v>991</v>
      </c>
      <c r="D24" s="50" t="s">
        <v>1018</v>
      </c>
    </row>
    <row r="25" spans="2:4" ht="21.75" customHeight="1" x14ac:dyDescent="0.25">
      <c r="B25" s="51">
        <v>13</v>
      </c>
      <c r="C25" s="17" t="s">
        <v>1019</v>
      </c>
      <c r="D25" s="52" t="s">
        <v>1020</v>
      </c>
    </row>
    <row r="26" spans="2:4" ht="21.75" customHeight="1" x14ac:dyDescent="0.25">
      <c r="B26" s="48">
        <v>14</v>
      </c>
      <c r="C26" s="49" t="s">
        <v>1021</v>
      </c>
      <c r="D26" s="50" t="s">
        <v>1022</v>
      </c>
    </row>
    <row r="27" spans="2:4" ht="21.75" customHeight="1" x14ac:dyDescent="0.25">
      <c r="B27" s="51">
        <v>17</v>
      </c>
      <c r="C27" s="17" t="s">
        <v>1023</v>
      </c>
      <c r="D27" s="52" t="s">
        <v>1024</v>
      </c>
    </row>
    <row r="28" spans="2:4" ht="21.75" customHeight="1" x14ac:dyDescent="0.25">
      <c r="B28" s="48">
        <v>24</v>
      </c>
      <c r="C28" s="49" t="s">
        <v>1025</v>
      </c>
      <c r="D28" s="50" t="s">
        <v>1026</v>
      </c>
    </row>
    <row r="29" spans="2:4" ht="21.75" customHeight="1" x14ac:dyDescent="0.25">
      <c r="B29" s="51">
        <v>30</v>
      </c>
      <c r="C29" s="17" t="s">
        <v>1027</v>
      </c>
      <c r="D29" s="52" t="s">
        <v>1028</v>
      </c>
    </row>
    <row r="30" spans="2:4" ht="6" customHeight="1" x14ac:dyDescent="0.25"/>
    <row r="31" spans="2:4" ht="25.5" customHeight="1" x14ac:dyDescent="0.25">
      <c r="B31" s="110" t="s">
        <v>1029</v>
      </c>
      <c r="C31" s="110"/>
      <c r="D31" s="110"/>
    </row>
    <row r="32" spans="2:4" ht="18" customHeight="1" x14ac:dyDescent="0.25">
      <c r="B32" s="111" t="s">
        <v>1030</v>
      </c>
      <c r="C32" s="111"/>
      <c r="D32" s="111"/>
    </row>
    <row r="33" spans="2:4" ht="18" customHeight="1" x14ac:dyDescent="0.25">
      <c r="B33" s="19" t="s">
        <v>986</v>
      </c>
      <c r="C33" s="19" t="s">
        <v>987</v>
      </c>
      <c r="D33" s="19" t="s">
        <v>988</v>
      </c>
    </row>
    <row r="34" spans="2:4" ht="21.75" customHeight="1" x14ac:dyDescent="0.25">
      <c r="B34" s="48">
        <v>28</v>
      </c>
      <c r="C34" s="49" t="s">
        <v>1031</v>
      </c>
      <c r="D34" s="50" t="s">
        <v>1032</v>
      </c>
    </row>
    <row r="35" spans="2:4" ht="21.75" customHeight="1" x14ac:dyDescent="0.25">
      <c r="B35" s="53">
        <v>29</v>
      </c>
      <c r="C35" s="54" t="s">
        <v>1033</v>
      </c>
      <c r="D35" s="55" t="s">
        <v>1034</v>
      </c>
    </row>
    <row r="36" spans="2:4" ht="21.75" customHeight="1" x14ac:dyDescent="0.25">
      <c r="B36" s="48">
        <v>31</v>
      </c>
      <c r="C36" s="49" t="s">
        <v>1035</v>
      </c>
      <c r="D36" s="50" t="s">
        <v>1036</v>
      </c>
    </row>
    <row r="37" spans="2:4" ht="21.75" customHeight="1" x14ac:dyDescent="0.25">
      <c r="B37" s="53">
        <v>32</v>
      </c>
      <c r="C37" s="54" t="s">
        <v>1037</v>
      </c>
      <c r="D37" s="55" t="s">
        <v>1038</v>
      </c>
    </row>
    <row r="38" spans="2:4" ht="21.75" customHeight="1" x14ac:dyDescent="0.25">
      <c r="B38" s="48">
        <v>35</v>
      </c>
      <c r="C38" s="49" t="s">
        <v>1039</v>
      </c>
      <c r="D38" s="50" t="s">
        <v>1040</v>
      </c>
    </row>
    <row r="39" spans="2:4" ht="21.75" customHeight="1" x14ac:dyDescent="0.25">
      <c r="B39" s="53">
        <v>36</v>
      </c>
      <c r="C39" s="54" t="s">
        <v>1041</v>
      </c>
      <c r="D39" s="55" t="s">
        <v>1042</v>
      </c>
    </row>
    <row r="40" spans="2:4" ht="21.75" customHeight="1" x14ac:dyDescent="0.25">
      <c r="B40" s="48">
        <v>38</v>
      </c>
      <c r="C40" s="49" t="s">
        <v>1043</v>
      </c>
      <c r="D40" s="50" t="s">
        <v>1044</v>
      </c>
    </row>
    <row r="41" spans="2:4" ht="21.75" customHeight="1" x14ac:dyDescent="0.25">
      <c r="B41" s="53">
        <v>39</v>
      </c>
      <c r="C41" s="54" t="s">
        <v>1045</v>
      </c>
      <c r="D41" s="55" t="s">
        <v>1046</v>
      </c>
    </row>
    <row r="42" spans="2:4" ht="6" customHeight="1" x14ac:dyDescent="0.25"/>
    <row r="43" spans="2:4" ht="25.5" customHeight="1" x14ac:dyDescent="0.25">
      <c r="B43" s="112" t="s">
        <v>1047</v>
      </c>
      <c r="C43" s="112"/>
      <c r="D43" s="112"/>
    </row>
    <row r="44" spans="2:4" ht="18" customHeight="1" x14ac:dyDescent="0.25">
      <c r="B44" s="113" t="s">
        <v>1048</v>
      </c>
      <c r="C44" s="113"/>
      <c r="D44" s="113"/>
    </row>
    <row r="45" spans="2:4" ht="18" customHeight="1" x14ac:dyDescent="0.25">
      <c r="B45" s="19" t="s">
        <v>986</v>
      </c>
      <c r="C45" s="19" t="s">
        <v>987</v>
      </c>
      <c r="D45" s="19" t="s">
        <v>988</v>
      </c>
    </row>
    <row r="46" spans="2:4" ht="21.75" customHeight="1" x14ac:dyDescent="0.25">
      <c r="B46" s="48">
        <v>1</v>
      </c>
      <c r="C46" s="49" t="s">
        <v>989</v>
      </c>
      <c r="D46" s="50" t="s">
        <v>1049</v>
      </c>
    </row>
    <row r="47" spans="2:4" ht="21.75" customHeight="1" x14ac:dyDescent="0.25">
      <c r="B47" s="56">
        <v>3</v>
      </c>
      <c r="C47" s="57" t="s">
        <v>1014</v>
      </c>
      <c r="D47" s="58" t="s">
        <v>1050</v>
      </c>
    </row>
    <row r="48" spans="2:4" ht="21.75" customHeight="1" x14ac:dyDescent="0.25">
      <c r="B48" s="48">
        <v>5</v>
      </c>
      <c r="C48" s="49" t="s">
        <v>1051</v>
      </c>
      <c r="D48" s="50" t="s">
        <v>1052</v>
      </c>
    </row>
    <row r="49" spans="2:4" ht="21.75" customHeight="1" x14ac:dyDescent="0.25">
      <c r="B49" s="56">
        <v>6</v>
      </c>
      <c r="C49" s="57" t="s">
        <v>1053</v>
      </c>
      <c r="D49" s="58" t="s">
        <v>1054</v>
      </c>
    </row>
    <row r="50" spans="2:4" ht="21.75" customHeight="1" x14ac:dyDescent="0.25">
      <c r="B50" s="48">
        <v>8</v>
      </c>
      <c r="C50" s="49" t="s">
        <v>1055</v>
      </c>
      <c r="D50" s="50" t="s">
        <v>1056</v>
      </c>
    </row>
    <row r="51" spans="2:4" ht="21.75" customHeight="1" x14ac:dyDescent="0.25">
      <c r="B51" s="56">
        <v>13</v>
      </c>
      <c r="C51" s="57" t="s">
        <v>1019</v>
      </c>
      <c r="D51" s="58" t="s">
        <v>1057</v>
      </c>
    </row>
    <row r="52" spans="2:4" ht="21.75" customHeight="1" x14ac:dyDescent="0.25">
      <c r="B52" s="48">
        <v>22</v>
      </c>
      <c r="C52" s="49" t="s">
        <v>1058</v>
      </c>
      <c r="D52" s="50" t="s">
        <v>1059</v>
      </c>
    </row>
    <row r="53" spans="2:4" ht="21.75" customHeight="1" x14ac:dyDescent="0.25">
      <c r="B53" s="56">
        <v>25</v>
      </c>
      <c r="C53" s="57" t="s">
        <v>1060</v>
      </c>
      <c r="D53" s="58" t="s">
        <v>1061</v>
      </c>
    </row>
    <row r="54" spans="2:4" ht="21.75" customHeight="1" x14ac:dyDescent="0.25">
      <c r="B54" s="48">
        <v>27</v>
      </c>
      <c r="C54" s="49" t="s">
        <v>1062</v>
      </c>
      <c r="D54" s="50" t="s">
        <v>1063</v>
      </c>
    </row>
    <row r="55" spans="2:4" ht="21.75" customHeight="1" x14ac:dyDescent="0.25">
      <c r="B55" s="56">
        <v>40</v>
      </c>
      <c r="C55" s="57" t="s">
        <v>1064</v>
      </c>
      <c r="D55" s="58" t="s">
        <v>1065</v>
      </c>
    </row>
  </sheetData>
  <mergeCells count="9">
    <mergeCell ref="B31:D31"/>
    <mergeCell ref="B32:D32"/>
    <mergeCell ref="B43:D43"/>
    <mergeCell ref="B44:D44"/>
    <mergeCell ref="B1:D1"/>
    <mergeCell ref="B3:D3"/>
    <mergeCell ref="B4:D4"/>
    <mergeCell ref="B17:D17"/>
    <mergeCell ref="B18:D18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39C12"/>
  </sheetPr>
  <dimension ref="B1:D19"/>
  <sheetViews>
    <sheetView showGridLines="0" zoomScaleNormal="100" workbookViewId="0"/>
  </sheetViews>
  <sheetFormatPr defaultColWidth="8.7109375" defaultRowHeight="15" x14ac:dyDescent="0.25"/>
  <cols>
    <col min="1" max="1" width="3" customWidth="1"/>
    <col min="2" max="3" width="30" customWidth="1"/>
    <col min="4" max="4" width="40" customWidth="1"/>
    <col min="5" max="5" width="3" customWidth="1"/>
  </cols>
  <sheetData>
    <row r="1" spans="2:4" ht="30" customHeight="1" x14ac:dyDescent="0.25">
      <c r="B1" s="114" t="s">
        <v>1066</v>
      </c>
      <c r="C1" s="114"/>
      <c r="D1" s="114"/>
    </row>
    <row r="2" spans="2:4" ht="15" customHeight="1" x14ac:dyDescent="0.25">
      <c r="B2" s="18" t="s">
        <v>48</v>
      </c>
      <c r="C2" s="20" t="s">
        <v>49</v>
      </c>
      <c r="D2" s="34" t="s">
        <v>1067</v>
      </c>
    </row>
    <row r="3" spans="2:4" ht="21.75" customHeight="1" x14ac:dyDescent="0.25">
      <c r="B3" s="16" t="s">
        <v>1068</v>
      </c>
      <c r="C3" s="16" t="s">
        <v>1069</v>
      </c>
      <c r="D3" s="59" t="s">
        <v>1070</v>
      </c>
    </row>
    <row r="4" spans="2:4" ht="21.75" customHeight="1" x14ac:dyDescent="0.25">
      <c r="B4" s="60" t="s">
        <v>1071</v>
      </c>
      <c r="C4" s="60" t="s">
        <v>1072</v>
      </c>
      <c r="D4" s="59" t="s">
        <v>1073</v>
      </c>
    </row>
    <row r="5" spans="2:4" ht="21.75" customHeight="1" x14ac:dyDescent="0.25">
      <c r="B5" s="16" t="s">
        <v>1074</v>
      </c>
      <c r="C5" s="16" t="s">
        <v>1075</v>
      </c>
      <c r="D5" s="59" t="s">
        <v>1076</v>
      </c>
    </row>
    <row r="6" spans="2:4" ht="21.75" customHeight="1" x14ac:dyDescent="0.25">
      <c r="B6" s="60" t="s">
        <v>1077</v>
      </c>
      <c r="C6" s="60" t="s">
        <v>1078</v>
      </c>
      <c r="D6" s="59" t="s">
        <v>1079</v>
      </c>
    </row>
    <row r="7" spans="2:4" ht="21.75" customHeight="1" x14ac:dyDescent="0.25">
      <c r="B7" s="16" t="s">
        <v>1080</v>
      </c>
      <c r="C7" s="16" t="s">
        <v>1081</v>
      </c>
      <c r="D7" s="59" t="s">
        <v>1082</v>
      </c>
    </row>
    <row r="8" spans="2:4" ht="21.75" customHeight="1" x14ac:dyDescent="0.25">
      <c r="B8" s="60" t="s">
        <v>1083</v>
      </c>
      <c r="C8" s="60" t="s">
        <v>1069</v>
      </c>
      <c r="D8" s="59" t="s">
        <v>1084</v>
      </c>
    </row>
    <row r="9" spans="2:4" ht="21.75" customHeight="1" x14ac:dyDescent="0.25">
      <c r="B9" s="16" t="s">
        <v>1085</v>
      </c>
      <c r="C9" s="16" t="s">
        <v>1086</v>
      </c>
      <c r="D9" s="59" t="s">
        <v>1087</v>
      </c>
    </row>
    <row r="10" spans="2:4" ht="21.75" customHeight="1" x14ac:dyDescent="0.25">
      <c r="B10" s="60" t="s">
        <v>1088</v>
      </c>
      <c r="C10" s="60" t="s">
        <v>1089</v>
      </c>
      <c r="D10" s="59" t="s">
        <v>1082</v>
      </c>
    </row>
    <row r="11" spans="2:4" ht="21.75" customHeight="1" x14ac:dyDescent="0.25">
      <c r="B11" s="16" t="s">
        <v>1090</v>
      </c>
      <c r="C11" s="16" t="s">
        <v>1091</v>
      </c>
      <c r="D11" s="59" t="s">
        <v>1092</v>
      </c>
    </row>
    <row r="12" spans="2:4" ht="21.75" customHeight="1" x14ac:dyDescent="0.25">
      <c r="B12" s="60" t="s">
        <v>1093</v>
      </c>
      <c r="C12" s="60" t="s">
        <v>1094</v>
      </c>
      <c r="D12" s="59" t="s">
        <v>1095</v>
      </c>
    </row>
    <row r="13" spans="2:4" ht="21.75" customHeight="1" x14ac:dyDescent="0.25">
      <c r="B13" s="16" t="s">
        <v>1096</v>
      </c>
      <c r="C13" s="16" t="s">
        <v>1097</v>
      </c>
      <c r="D13" s="59" t="s">
        <v>1098</v>
      </c>
    </row>
    <row r="14" spans="2:4" ht="21.75" customHeight="1" x14ac:dyDescent="0.25">
      <c r="B14" s="60" t="s">
        <v>1099</v>
      </c>
      <c r="C14" s="60" t="s">
        <v>1083</v>
      </c>
      <c r="D14" s="59" t="s">
        <v>1100</v>
      </c>
    </row>
    <row r="15" spans="2:4" ht="21.75" customHeight="1" x14ac:dyDescent="0.25">
      <c r="B15" s="16" t="s">
        <v>1101</v>
      </c>
      <c r="C15" s="16" t="s">
        <v>1102</v>
      </c>
      <c r="D15" s="59" t="s">
        <v>1082</v>
      </c>
    </row>
    <row r="16" spans="2:4" ht="21.75" customHeight="1" x14ac:dyDescent="0.25">
      <c r="B16" s="60" t="s">
        <v>1103</v>
      </c>
      <c r="C16" s="60" t="s">
        <v>1104</v>
      </c>
      <c r="D16" s="59" t="s">
        <v>1105</v>
      </c>
    </row>
    <row r="17" spans="2:4" ht="21.75" customHeight="1" x14ac:dyDescent="0.25">
      <c r="B17" s="16" t="s">
        <v>1106</v>
      </c>
      <c r="C17" s="16" t="s">
        <v>1078</v>
      </c>
      <c r="D17" s="59" t="s">
        <v>1107</v>
      </c>
    </row>
    <row r="19" spans="2:4" ht="30" customHeight="1" x14ac:dyDescent="0.25">
      <c r="B19" s="115" t="s">
        <v>1108</v>
      </c>
      <c r="C19" s="115"/>
      <c r="D19" s="115"/>
    </row>
  </sheetData>
  <mergeCells count="2">
    <mergeCell ref="B1:D1"/>
    <mergeCell ref="B19:D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E8449"/>
  </sheetPr>
  <dimension ref="B1:I21"/>
  <sheetViews>
    <sheetView showGridLines="0" zoomScaleNormal="100" workbookViewId="0"/>
  </sheetViews>
  <sheetFormatPr defaultColWidth="8.7109375" defaultRowHeight="15" x14ac:dyDescent="0.25"/>
  <cols>
    <col min="1" max="1" width="3" customWidth="1"/>
    <col min="2" max="2" width="8" customWidth="1"/>
    <col min="3" max="3" width="24" customWidth="1"/>
    <col min="4" max="7" width="15" customWidth="1"/>
    <col min="8" max="8" width="16" customWidth="1"/>
    <col min="9" max="9" width="28" customWidth="1"/>
    <col min="10" max="10" width="3" customWidth="1"/>
  </cols>
  <sheetData>
    <row r="1" spans="2:9" ht="27.75" customHeight="1" x14ac:dyDescent="0.25">
      <c r="B1" s="116" t="s">
        <v>1109</v>
      </c>
      <c r="C1" s="116"/>
      <c r="D1" s="116"/>
      <c r="E1" s="116"/>
      <c r="F1" s="116"/>
      <c r="G1" s="116"/>
      <c r="H1" s="116"/>
      <c r="I1" s="116"/>
    </row>
    <row r="2" spans="2:9" ht="15.75" customHeight="1" x14ac:dyDescent="0.25">
      <c r="B2" s="117" t="s">
        <v>1110</v>
      </c>
      <c r="C2" s="117"/>
      <c r="D2" s="117"/>
      <c r="E2" s="117"/>
      <c r="F2" s="117"/>
      <c r="G2" s="117"/>
      <c r="H2" s="117"/>
      <c r="I2" s="117"/>
    </row>
    <row r="3" spans="2:9" ht="36" customHeight="1" x14ac:dyDescent="0.25">
      <c r="B3" s="61" t="s">
        <v>986</v>
      </c>
      <c r="C3" s="61" t="s">
        <v>1111</v>
      </c>
      <c r="D3" s="62" t="s">
        <v>1112</v>
      </c>
      <c r="E3" s="63" t="s">
        <v>1113</v>
      </c>
      <c r="F3" s="64" t="s">
        <v>1114</v>
      </c>
      <c r="G3" s="65" t="s">
        <v>1115</v>
      </c>
      <c r="H3" s="66" t="s">
        <v>1116</v>
      </c>
      <c r="I3" s="61" t="s">
        <v>1117</v>
      </c>
    </row>
    <row r="4" spans="2:9" ht="21.75" customHeight="1" x14ac:dyDescent="0.25">
      <c r="B4" s="67"/>
      <c r="C4" s="68" t="str">
        <f>IFERROR(VLOOKUP(B4,Appendix!$A:$B,2,0),"")</f>
        <v/>
      </c>
      <c r="D4" s="69"/>
      <c r="E4" s="70"/>
      <c r="F4" s="71"/>
      <c r="G4" s="72"/>
      <c r="H4" s="73" t="str">
        <f t="shared" ref="H4:H15" si="0">IFERROR(IF(OR(D4="",E4="",F4="",G4=""),"",ROUND((D4*0.3+E4*0.35+F4*0.2+G4*0.15)*4,1)),"")</f>
        <v/>
      </c>
      <c r="I4" s="16"/>
    </row>
    <row r="5" spans="2:9" ht="21.75" customHeight="1" x14ac:dyDescent="0.25">
      <c r="B5" s="67"/>
      <c r="C5" s="74" t="str">
        <f>IFERROR(VLOOKUP(B5,Appendix!$A:$B,2,0),"")</f>
        <v/>
      </c>
      <c r="D5" s="75"/>
      <c r="E5" s="76"/>
      <c r="F5" s="77"/>
      <c r="G5" s="78"/>
      <c r="H5" s="73" t="str">
        <f t="shared" si="0"/>
        <v/>
      </c>
      <c r="I5" s="60"/>
    </row>
    <row r="6" spans="2:9" ht="21.75" customHeight="1" x14ac:dyDescent="0.25">
      <c r="B6" s="67"/>
      <c r="C6" s="68" t="str">
        <f>IFERROR(VLOOKUP(B6,Appendix!$A:$B,2,0),"")</f>
        <v/>
      </c>
      <c r="D6" s="69"/>
      <c r="E6" s="70"/>
      <c r="F6" s="71"/>
      <c r="G6" s="72"/>
      <c r="H6" s="73" t="str">
        <f t="shared" si="0"/>
        <v/>
      </c>
      <c r="I6" s="16"/>
    </row>
    <row r="7" spans="2:9" ht="21.75" customHeight="1" x14ac:dyDescent="0.25">
      <c r="B7" s="67"/>
      <c r="C7" s="74" t="str">
        <f>IFERROR(VLOOKUP(B7,Appendix!$A:$B,2,0),"")</f>
        <v/>
      </c>
      <c r="D7" s="75"/>
      <c r="E7" s="76"/>
      <c r="F7" s="77"/>
      <c r="G7" s="78"/>
      <c r="H7" s="73" t="str">
        <f t="shared" si="0"/>
        <v/>
      </c>
      <c r="I7" s="60"/>
    </row>
    <row r="8" spans="2:9" ht="21.75" customHeight="1" x14ac:dyDescent="0.25">
      <c r="B8" s="67"/>
      <c r="C8" s="68" t="str">
        <f>IFERROR(VLOOKUP(B8,Appendix!$A:$B,2,0),"")</f>
        <v/>
      </c>
      <c r="D8" s="69"/>
      <c r="E8" s="70"/>
      <c r="F8" s="71"/>
      <c r="G8" s="72"/>
      <c r="H8" s="73" t="str">
        <f t="shared" si="0"/>
        <v/>
      </c>
      <c r="I8" s="16"/>
    </row>
    <row r="9" spans="2:9" ht="21.75" customHeight="1" x14ac:dyDescent="0.25">
      <c r="B9" s="67"/>
      <c r="C9" s="74" t="str">
        <f>IFERROR(VLOOKUP(B9,Appendix!$A:$B,2,0),"")</f>
        <v/>
      </c>
      <c r="D9" s="75"/>
      <c r="E9" s="76"/>
      <c r="F9" s="77"/>
      <c r="G9" s="78"/>
      <c r="H9" s="73" t="str">
        <f t="shared" si="0"/>
        <v/>
      </c>
      <c r="I9" s="60"/>
    </row>
    <row r="10" spans="2:9" ht="21.75" customHeight="1" x14ac:dyDescent="0.25">
      <c r="B10" s="67"/>
      <c r="C10" s="68" t="str">
        <f>IFERROR(VLOOKUP(B10,Appendix!$A:$B,2,0),"")</f>
        <v/>
      </c>
      <c r="D10" s="69"/>
      <c r="E10" s="70"/>
      <c r="F10" s="71"/>
      <c r="G10" s="72"/>
      <c r="H10" s="73" t="str">
        <f t="shared" si="0"/>
        <v/>
      </c>
      <c r="I10" s="16"/>
    </row>
    <row r="11" spans="2:9" ht="21.75" customHeight="1" x14ac:dyDescent="0.25">
      <c r="B11" s="67"/>
      <c r="C11" s="74" t="str">
        <f>IFERROR(VLOOKUP(B11,Appendix!$A:$B,2,0),"")</f>
        <v/>
      </c>
      <c r="D11" s="75"/>
      <c r="E11" s="76"/>
      <c r="F11" s="77"/>
      <c r="G11" s="78"/>
      <c r="H11" s="73" t="str">
        <f t="shared" si="0"/>
        <v/>
      </c>
      <c r="I11" s="60"/>
    </row>
    <row r="12" spans="2:9" ht="21.75" customHeight="1" x14ac:dyDescent="0.25">
      <c r="B12" s="67"/>
      <c r="C12" s="68" t="str">
        <f>IFERROR(VLOOKUP(B12,Appendix!$A:$B,2,0),"")</f>
        <v/>
      </c>
      <c r="D12" s="69"/>
      <c r="E12" s="70"/>
      <c r="F12" s="71"/>
      <c r="G12" s="72"/>
      <c r="H12" s="73" t="str">
        <f t="shared" si="0"/>
        <v/>
      </c>
      <c r="I12" s="16"/>
    </row>
    <row r="13" spans="2:9" ht="21.75" customHeight="1" x14ac:dyDescent="0.25">
      <c r="B13" s="67"/>
      <c r="C13" s="74" t="str">
        <f>IFERROR(VLOOKUP(B13,Appendix!$A:$B,2,0),"")</f>
        <v/>
      </c>
      <c r="D13" s="75"/>
      <c r="E13" s="76"/>
      <c r="F13" s="77"/>
      <c r="G13" s="78"/>
      <c r="H13" s="73" t="str">
        <f t="shared" si="0"/>
        <v/>
      </c>
      <c r="I13" s="60"/>
    </row>
    <row r="14" spans="2:9" ht="21.75" customHeight="1" x14ac:dyDescent="0.25">
      <c r="B14" s="67"/>
      <c r="C14" s="68" t="str">
        <f>IFERROR(VLOOKUP(B14,Appendix!$A:$B,2,0),"")</f>
        <v/>
      </c>
      <c r="D14" s="69"/>
      <c r="E14" s="70"/>
      <c r="F14" s="71"/>
      <c r="G14" s="72"/>
      <c r="H14" s="73" t="str">
        <f t="shared" si="0"/>
        <v/>
      </c>
      <c r="I14" s="16"/>
    </row>
    <row r="15" spans="2:9" ht="21.75" customHeight="1" x14ac:dyDescent="0.25">
      <c r="B15" s="67"/>
      <c r="C15" s="74" t="str">
        <f>IFERROR(VLOOKUP(B15,Appendix!$A:$B,2,0),"")</f>
        <v/>
      </c>
      <c r="D15" s="75"/>
      <c r="E15" s="76"/>
      <c r="F15" s="77"/>
      <c r="G15" s="78"/>
      <c r="H15" s="73" t="str">
        <f t="shared" si="0"/>
        <v/>
      </c>
      <c r="I15" s="60"/>
    </row>
    <row r="17" spans="2:9" ht="9.75" customHeight="1" x14ac:dyDescent="0.25"/>
    <row r="18" spans="2:9" ht="21.75" customHeight="1" x14ac:dyDescent="0.25">
      <c r="B18" s="118" t="s">
        <v>1118</v>
      </c>
      <c r="C18" s="118"/>
      <c r="D18" s="118"/>
      <c r="E18" s="118"/>
      <c r="F18" s="118"/>
      <c r="G18" s="118"/>
      <c r="H18" s="118"/>
      <c r="I18" s="118"/>
    </row>
    <row r="20" spans="2:9" ht="9.75" customHeight="1" x14ac:dyDescent="0.25"/>
    <row r="21" spans="2:9" ht="27.75" customHeight="1" x14ac:dyDescent="0.25">
      <c r="B21" s="18" t="s">
        <v>1119</v>
      </c>
      <c r="C21" s="119" t="str">
        <f>IFERROR(INDEX(C4:C15,MATCH(MAX(H4:H15),H4:H15,0)),"— enter scores above —")</f>
        <v>— enter scores above —</v>
      </c>
      <c r="D21" s="119"/>
      <c r="E21" s="119"/>
      <c r="F21" s="119"/>
      <c r="G21" s="120" t="str">
        <f>IFERROR(TEXT(MAX(H4:H15),"0.0")&amp;" / 20","—")</f>
        <v>0.0 / 20</v>
      </c>
      <c r="H21" s="120"/>
      <c r="I21" s="120"/>
    </row>
  </sheetData>
  <mergeCells count="5">
    <mergeCell ref="B1:I1"/>
    <mergeCell ref="B2:I2"/>
    <mergeCell ref="B18:I18"/>
    <mergeCell ref="C21:F21"/>
    <mergeCell ref="G21:I21"/>
  </mergeCells>
  <dataValidations count="1">
    <dataValidation type="whole" allowBlank="1" sqref="D4:G15" xr:uid="{00000000-0002-0000-0500-000000000000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C3483"/>
  </sheetPr>
  <dimension ref="B1:G14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8.7109375" defaultRowHeight="15" x14ac:dyDescent="0.25"/>
  <cols>
    <col min="1" max="1" width="3" customWidth="1"/>
    <col min="2" max="2" width="18" customWidth="1"/>
    <col min="3" max="3" width="22" customWidth="1"/>
    <col min="4" max="4" width="20" customWidth="1"/>
    <col min="5" max="5" width="14" customWidth="1"/>
    <col min="6" max="7" width="26" customWidth="1"/>
    <col min="8" max="8" width="3" customWidth="1"/>
  </cols>
  <sheetData>
    <row r="1" spans="2:7" ht="27.75" customHeight="1" x14ac:dyDescent="0.25">
      <c r="B1" s="121" t="s">
        <v>1120</v>
      </c>
      <c r="C1" s="121"/>
      <c r="D1" s="121"/>
      <c r="E1" s="121"/>
      <c r="F1" s="121"/>
      <c r="G1" s="121"/>
    </row>
    <row r="2" spans="2:7" ht="19.5" customHeight="1" x14ac:dyDescent="0.25">
      <c r="B2" s="61" t="s">
        <v>1121</v>
      </c>
      <c r="C2" s="61" t="s">
        <v>1122</v>
      </c>
      <c r="D2" s="61" t="s">
        <v>1123</v>
      </c>
      <c r="E2" s="61" t="s">
        <v>1124</v>
      </c>
      <c r="F2" s="61" t="s">
        <v>1125</v>
      </c>
      <c r="G2" s="61" t="s">
        <v>1126</v>
      </c>
    </row>
    <row r="3" spans="2:7" ht="54" customHeight="1" x14ac:dyDescent="0.25">
      <c r="B3" s="79" t="s">
        <v>1127</v>
      </c>
      <c r="C3" s="52" t="s">
        <v>1128</v>
      </c>
      <c r="D3" s="50" t="s">
        <v>1129</v>
      </c>
      <c r="E3" s="59" t="s">
        <v>1130</v>
      </c>
      <c r="F3" s="50" t="s">
        <v>1131</v>
      </c>
      <c r="G3" s="58" t="s">
        <v>1132</v>
      </c>
    </row>
    <row r="4" spans="2:7" ht="54" customHeight="1" x14ac:dyDescent="0.25">
      <c r="B4" s="80" t="s">
        <v>1133</v>
      </c>
      <c r="C4" s="52" t="s">
        <v>1134</v>
      </c>
      <c r="D4" s="50" t="s">
        <v>1135</v>
      </c>
      <c r="E4" s="59" t="s">
        <v>1136</v>
      </c>
      <c r="F4" s="50" t="s">
        <v>1137</v>
      </c>
      <c r="G4" s="58" t="s">
        <v>1138</v>
      </c>
    </row>
    <row r="5" spans="2:7" ht="54" customHeight="1" x14ac:dyDescent="0.25">
      <c r="B5" s="81" t="s">
        <v>1139</v>
      </c>
      <c r="C5" s="82" t="s">
        <v>1140</v>
      </c>
      <c r="D5" s="50" t="s">
        <v>1141</v>
      </c>
      <c r="E5" s="59" t="s">
        <v>1142</v>
      </c>
      <c r="F5" s="50" t="s">
        <v>1143</v>
      </c>
      <c r="G5" s="58" t="s">
        <v>1144</v>
      </c>
    </row>
    <row r="6" spans="2:7" ht="54" customHeight="1" x14ac:dyDescent="0.25">
      <c r="B6" s="83" t="s">
        <v>1145</v>
      </c>
      <c r="C6" s="55" t="s">
        <v>1146</v>
      </c>
      <c r="D6" s="50" t="s">
        <v>1147</v>
      </c>
      <c r="E6" s="59" t="s">
        <v>1148</v>
      </c>
      <c r="F6" s="50" t="s">
        <v>1149</v>
      </c>
      <c r="G6" s="58" t="s">
        <v>1150</v>
      </c>
    </row>
    <row r="7" spans="2:7" ht="54" customHeight="1" x14ac:dyDescent="0.25">
      <c r="B7" s="84" t="s">
        <v>1151</v>
      </c>
      <c r="C7" s="85" t="s">
        <v>1152</v>
      </c>
      <c r="D7" s="50" t="s">
        <v>1153</v>
      </c>
      <c r="E7" s="59" t="s">
        <v>1154</v>
      </c>
      <c r="F7" s="50" t="s">
        <v>1155</v>
      </c>
      <c r="G7" s="58" t="s">
        <v>1156</v>
      </c>
    </row>
    <row r="8" spans="2:7" ht="54" customHeight="1" x14ac:dyDescent="0.25">
      <c r="B8" s="86" t="s">
        <v>1157</v>
      </c>
      <c r="C8" s="58" t="s">
        <v>1158</v>
      </c>
      <c r="D8" s="50" t="s">
        <v>1159</v>
      </c>
      <c r="E8" s="59" t="s">
        <v>1160</v>
      </c>
      <c r="F8" s="50" t="s">
        <v>1161</v>
      </c>
      <c r="G8" s="58" t="s">
        <v>1162</v>
      </c>
    </row>
    <row r="9" spans="2:7" ht="54" customHeight="1" x14ac:dyDescent="0.25">
      <c r="B9" s="87" t="s">
        <v>1163</v>
      </c>
      <c r="C9" s="88" t="s">
        <v>1164</v>
      </c>
      <c r="D9" s="50" t="s">
        <v>1165</v>
      </c>
      <c r="E9" s="59" t="s">
        <v>1166</v>
      </c>
      <c r="F9" s="50" t="s">
        <v>1167</v>
      </c>
      <c r="G9" s="58" t="s">
        <v>1168</v>
      </c>
    </row>
    <row r="10" spans="2:7" ht="54" customHeight="1" x14ac:dyDescent="0.25">
      <c r="B10" s="89" t="s">
        <v>1169</v>
      </c>
      <c r="C10" s="90" t="s">
        <v>1170</v>
      </c>
      <c r="D10" s="50" t="s">
        <v>1171</v>
      </c>
      <c r="E10" s="59" t="s">
        <v>1172</v>
      </c>
      <c r="F10" s="50" t="s">
        <v>1173</v>
      </c>
      <c r="G10" s="58" t="s">
        <v>1174</v>
      </c>
    </row>
    <row r="11" spans="2:7" ht="54" customHeight="1" x14ac:dyDescent="0.25">
      <c r="B11" s="87" t="s">
        <v>1175</v>
      </c>
      <c r="C11" s="88" t="s">
        <v>1176</v>
      </c>
      <c r="D11" s="50" t="s">
        <v>1177</v>
      </c>
      <c r="E11" s="59" t="s">
        <v>1178</v>
      </c>
      <c r="F11" s="50" t="s">
        <v>1179</v>
      </c>
      <c r="G11" s="58" t="s">
        <v>1180</v>
      </c>
    </row>
    <row r="12" spans="2:7" ht="54" customHeight="1" x14ac:dyDescent="0.25">
      <c r="B12" s="91" t="s">
        <v>1181</v>
      </c>
      <c r="C12" s="59" t="s">
        <v>1182</v>
      </c>
      <c r="D12" s="50" t="s">
        <v>1183</v>
      </c>
      <c r="E12" s="59" t="s">
        <v>1184</v>
      </c>
      <c r="F12" s="50" t="s">
        <v>1185</v>
      </c>
      <c r="G12" s="58" t="s">
        <v>1186</v>
      </c>
    </row>
    <row r="13" spans="2:7" ht="54" customHeight="1" x14ac:dyDescent="0.25">
      <c r="B13" s="92" t="s">
        <v>1187</v>
      </c>
      <c r="C13" s="58" t="s">
        <v>1188</v>
      </c>
      <c r="D13" s="50" t="s">
        <v>1189</v>
      </c>
      <c r="E13" s="59" t="s">
        <v>1190</v>
      </c>
      <c r="F13" s="50" t="s">
        <v>1191</v>
      </c>
      <c r="G13" s="58" t="s">
        <v>1192</v>
      </c>
    </row>
    <row r="14" spans="2:7" ht="54" customHeight="1" x14ac:dyDescent="0.25">
      <c r="B14" s="86" t="s">
        <v>1193</v>
      </c>
      <c r="C14" s="58" t="s">
        <v>1194</v>
      </c>
      <c r="D14" s="50" t="s">
        <v>1195</v>
      </c>
      <c r="E14" s="59" t="s">
        <v>1196</v>
      </c>
      <c r="F14" s="50" t="s">
        <v>1197</v>
      </c>
      <c r="G14" s="58" t="s">
        <v>1198</v>
      </c>
    </row>
  </sheetData>
  <mergeCells count="1">
    <mergeCell ref="B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67E22"/>
  </sheetPr>
  <dimension ref="B1:J32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x14ac:dyDescent="0.25"/>
  <cols>
    <col min="1" max="1" width="3" customWidth="1"/>
    <col min="2" max="2" width="13" customWidth="1"/>
    <col min="3" max="4" width="22" customWidth="1"/>
    <col min="5" max="6" width="16" customWidth="1"/>
    <col min="7" max="7" width="18" customWidth="1"/>
    <col min="8" max="8" width="14" customWidth="1"/>
    <col min="9" max="9" width="24" customWidth="1"/>
    <col min="10" max="10" width="18" customWidth="1"/>
    <col min="11" max="11" width="3" customWidth="1"/>
  </cols>
  <sheetData>
    <row r="1" spans="2:10" ht="27.75" customHeight="1" x14ac:dyDescent="0.25">
      <c r="B1" s="122" t="s">
        <v>1199</v>
      </c>
      <c r="C1" s="122"/>
      <c r="D1" s="122"/>
      <c r="E1" s="122"/>
      <c r="F1" s="122"/>
      <c r="G1" s="122"/>
      <c r="H1" s="122"/>
      <c r="I1" s="122"/>
      <c r="J1" s="122"/>
    </row>
    <row r="2" spans="2:10" ht="27.75" customHeight="1" x14ac:dyDescent="0.25">
      <c r="B2" s="123" t="s">
        <v>1200</v>
      </c>
      <c r="C2" s="123"/>
      <c r="D2" s="123"/>
      <c r="E2" s="123"/>
      <c r="F2" s="123"/>
      <c r="G2" s="123"/>
      <c r="H2" s="123"/>
      <c r="I2" s="123"/>
      <c r="J2" s="123"/>
    </row>
    <row r="3" spans="2:10" ht="31.5" customHeight="1" x14ac:dyDescent="0.25">
      <c r="B3" s="93" t="s">
        <v>1201</v>
      </c>
      <c r="C3" s="93" t="s">
        <v>1202</v>
      </c>
      <c r="D3" s="93" t="s">
        <v>1203</v>
      </c>
      <c r="E3" s="93" t="s">
        <v>45</v>
      </c>
      <c r="F3" s="93" t="s">
        <v>1204</v>
      </c>
      <c r="G3" s="93" t="s">
        <v>1205</v>
      </c>
      <c r="H3" s="93" t="s">
        <v>1206</v>
      </c>
      <c r="I3" s="93" t="s">
        <v>1207</v>
      </c>
      <c r="J3" s="93" t="s">
        <v>87</v>
      </c>
    </row>
    <row r="4" spans="2:10" ht="36" customHeight="1" x14ac:dyDescent="0.25">
      <c r="B4" s="59" t="s">
        <v>1208</v>
      </c>
      <c r="C4" s="59" t="s">
        <v>1209</v>
      </c>
      <c r="D4" s="59" t="s">
        <v>1210</v>
      </c>
      <c r="E4" s="59" t="s">
        <v>1211</v>
      </c>
      <c r="F4" s="59" t="s">
        <v>1212</v>
      </c>
      <c r="G4" s="59" t="s">
        <v>1213</v>
      </c>
      <c r="H4" s="59" t="s">
        <v>75</v>
      </c>
      <c r="I4" s="59" t="s">
        <v>1214</v>
      </c>
      <c r="J4" s="59" t="s">
        <v>1215</v>
      </c>
    </row>
    <row r="5" spans="2:10" ht="36" customHeight="1" x14ac:dyDescent="0.25">
      <c r="B5" s="88"/>
      <c r="C5" s="88"/>
      <c r="D5" s="88"/>
      <c r="E5" s="88"/>
      <c r="F5" s="88"/>
      <c r="G5" s="88"/>
      <c r="H5" s="88"/>
      <c r="I5" s="88"/>
      <c r="J5" s="88"/>
    </row>
    <row r="6" spans="2:10" ht="36" customHeight="1" x14ac:dyDescent="0.25">
      <c r="B6" s="50"/>
      <c r="C6" s="50"/>
      <c r="D6" s="50"/>
      <c r="E6" s="50"/>
      <c r="F6" s="50"/>
      <c r="G6" s="50"/>
      <c r="H6" s="50"/>
      <c r="I6" s="50"/>
      <c r="J6" s="50"/>
    </row>
    <row r="7" spans="2:10" ht="36" customHeight="1" x14ac:dyDescent="0.25">
      <c r="B7" s="88"/>
      <c r="C7" s="88"/>
      <c r="D7" s="88"/>
      <c r="E7" s="88"/>
      <c r="F7" s="88"/>
      <c r="G7" s="88"/>
      <c r="H7" s="88"/>
      <c r="I7" s="88"/>
      <c r="J7" s="88"/>
    </row>
    <row r="8" spans="2:10" ht="36" customHeight="1" x14ac:dyDescent="0.25">
      <c r="B8" s="50"/>
      <c r="C8" s="50"/>
      <c r="D8" s="50"/>
      <c r="E8" s="50"/>
      <c r="F8" s="50"/>
      <c r="G8" s="50"/>
      <c r="H8" s="50"/>
      <c r="I8" s="50"/>
      <c r="J8" s="50"/>
    </row>
    <row r="9" spans="2:10" ht="36" customHeight="1" x14ac:dyDescent="0.25">
      <c r="B9" s="88"/>
      <c r="C9" s="88"/>
      <c r="D9" s="88"/>
      <c r="E9" s="88"/>
      <c r="F9" s="88"/>
      <c r="G9" s="88"/>
      <c r="H9" s="88"/>
      <c r="I9" s="88"/>
      <c r="J9" s="88"/>
    </row>
    <row r="10" spans="2:10" ht="36" customHeight="1" x14ac:dyDescent="0.25">
      <c r="B10" s="50"/>
      <c r="C10" s="50"/>
      <c r="D10" s="50"/>
      <c r="E10" s="50"/>
      <c r="F10" s="50"/>
      <c r="G10" s="50"/>
      <c r="H10" s="50"/>
      <c r="I10" s="50"/>
      <c r="J10" s="50"/>
    </row>
    <row r="11" spans="2:10" ht="36" customHeight="1" x14ac:dyDescent="0.25">
      <c r="B11" s="88"/>
      <c r="C11" s="88"/>
      <c r="D11" s="88"/>
      <c r="E11" s="88"/>
      <c r="F11" s="88"/>
      <c r="G11" s="88"/>
      <c r="H11" s="88"/>
      <c r="I11" s="88"/>
      <c r="J11" s="88"/>
    </row>
    <row r="12" spans="2:10" ht="36" customHeight="1" x14ac:dyDescent="0.25">
      <c r="B12" s="50"/>
      <c r="C12" s="50"/>
      <c r="D12" s="50"/>
      <c r="E12" s="50"/>
      <c r="F12" s="50"/>
      <c r="G12" s="50"/>
      <c r="H12" s="50"/>
      <c r="I12" s="50"/>
      <c r="J12" s="50"/>
    </row>
    <row r="13" spans="2:10" ht="36" customHeight="1" x14ac:dyDescent="0.25">
      <c r="B13" s="88"/>
      <c r="C13" s="88"/>
      <c r="D13" s="88"/>
      <c r="E13" s="88"/>
      <c r="F13" s="88"/>
      <c r="G13" s="88"/>
      <c r="H13" s="88"/>
      <c r="I13" s="88"/>
      <c r="J13" s="88"/>
    </row>
    <row r="14" spans="2:10" ht="36" customHeight="1" x14ac:dyDescent="0.25">
      <c r="B14" s="50"/>
      <c r="C14" s="50"/>
      <c r="D14" s="50"/>
      <c r="E14" s="50"/>
      <c r="F14" s="50"/>
      <c r="G14" s="50"/>
      <c r="H14" s="50"/>
      <c r="I14" s="50"/>
      <c r="J14" s="50"/>
    </row>
    <row r="15" spans="2:10" ht="36" customHeight="1" x14ac:dyDescent="0.25">
      <c r="B15" s="88"/>
      <c r="C15" s="88"/>
      <c r="D15" s="88"/>
      <c r="E15" s="88"/>
      <c r="F15" s="88"/>
      <c r="G15" s="88"/>
      <c r="H15" s="88"/>
      <c r="I15" s="88"/>
      <c r="J15" s="88"/>
    </row>
    <row r="16" spans="2:10" ht="36" customHeight="1" x14ac:dyDescent="0.25">
      <c r="B16" s="50"/>
      <c r="C16" s="50"/>
      <c r="D16" s="50"/>
      <c r="E16" s="50"/>
      <c r="F16" s="50"/>
      <c r="G16" s="50"/>
      <c r="H16" s="50"/>
      <c r="I16" s="50"/>
      <c r="J16" s="50"/>
    </row>
    <row r="17" spans="2:10" ht="36" customHeight="1" x14ac:dyDescent="0.25">
      <c r="B17" s="88"/>
      <c r="C17" s="88"/>
      <c r="D17" s="88"/>
      <c r="E17" s="88"/>
      <c r="F17" s="88"/>
      <c r="G17" s="88"/>
      <c r="H17" s="88"/>
      <c r="I17" s="88"/>
      <c r="J17" s="88"/>
    </row>
    <row r="18" spans="2:10" ht="36" customHeight="1" x14ac:dyDescent="0.25">
      <c r="B18" s="50"/>
      <c r="C18" s="50"/>
      <c r="D18" s="50"/>
      <c r="E18" s="50"/>
      <c r="F18" s="50"/>
      <c r="G18" s="50"/>
      <c r="H18" s="50"/>
      <c r="I18" s="50"/>
      <c r="J18" s="50"/>
    </row>
    <row r="19" spans="2:10" ht="36" customHeight="1" x14ac:dyDescent="0.25">
      <c r="B19" s="88"/>
      <c r="C19" s="88"/>
      <c r="D19" s="88"/>
      <c r="E19" s="88"/>
      <c r="F19" s="88"/>
      <c r="G19" s="88"/>
      <c r="H19" s="88"/>
      <c r="I19" s="88"/>
      <c r="J19" s="88"/>
    </row>
    <row r="20" spans="2:10" ht="36" customHeight="1" x14ac:dyDescent="0.25">
      <c r="B20" s="50"/>
      <c r="C20" s="50"/>
      <c r="D20" s="50"/>
      <c r="E20" s="50"/>
      <c r="F20" s="50"/>
      <c r="G20" s="50"/>
      <c r="H20" s="50"/>
      <c r="I20" s="50"/>
      <c r="J20" s="50"/>
    </row>
    <row r="21" spans="2:10" ht="36" customHeight="1" x14ac:dyDescent="0.25">
      <c r="B21" s="88"/>
      <c r="C21" s="88"/>
      <c r="D21" s="88"/>
      <c r="E21" s="88"/>
      <c r="F21" s="88"/>
      <c r="G21" s="88"/>
      <c r="H21" s="88"/>
      <c r="I21" s="88"/>
      <c r="J21" s="88"/>
    </row>
    <row r="22" spans="2:10" ht="36" customHeight="1" x14ac:dyDescent="0.25">
      <c r="B22" s="50"/>
      <c r="C22" s="50"/>
      <c r="D22" s="50"/>
      <c r="E22" s="50"/>
      <c r="F22" s="50"/>
      <c r="G22" s="50"/>
      <c r="H22" s="50"/>
      <c r="I22" s="50"/>
      <c r="J22" s="50"/>
    </row>
    <row r="23" spans="2:10" ht="36" customHeight="1" x14ac:dyDescent="0.25">
      <c r="B23" s="88"/>
      <c r="C23" s="88"/>
      <c r="D23" s="88"/>
      <c r="E23" s="88"/>
      <c r="F23" s="88"/>
      <c r="G23" s="88"/>
      <c r="H23" s="88"/>
      <c r="I23" s="88"/>
      <c r="J23" s="88"/>
    </row>
    <row r="25" spans="2:10" ht="9.75" customHeight="1" x14ac:dyDescent="0.25"/>
    <row r="26" spans="2:10" ht="21.75" customHeight="1" x14ac:dyDescent="0.25">
      <c r="B26" s="124" t="s">
        <v>1216</v>
      </c>
      <c r="C26" s="124"/>
      <c r="D26" s="124"/>
      <c r="E26" s="124"/>
      <c r="F26" s="124"/>
      <c r="G26" s="124"/>
      <c r="H26" s="124"/>
      <c r="I26" s="124"/>
      <c r="J26" s="124"/>
    </row>
    <row r="27" spans="2:10" ht="19.5" customHeight="1" x14ac:dyDescent="0.25">
      <c r="B27" s="125" t="s">
        <v>1217</v>
      </c>
      <c r="C27" s="125"/>
      <c r="D27" s="125"/>
      <c r="E27" s="125"/>
      <c r="F27" s="126">
        <f>COUNTA(C4:C23)</f>
        <v>1</v>
      </c>
      <c r="G27" s="126"/>
    </row>
    <row r="28" spans="2:10" ht="19.5" customHeight="1" x14ac:dyDescent="0.25">
      <c r="B28" s="125" t="s">
        <v>1218</v>
      </c>
      <c r="C28" s="125"/>
      <c r="D28" s="125"/>
      <c r="E28" s="125"/>
      <c r="F28" s="126">
        <f>COUNTIF(E4:E23,"Technical Contradiction")</f>
        <v>0</v>
      </c>
      <c r="G28" s="126"/>
    </row>
    <row r="29" spans="2:10" ht="19.5" customHeight="1" x14ac:dyDescent="0.25">
      <c r="B29" s="125" t="s">
        <v>1219</v>
      </c>
      <c r="C29" s="125"/>
      <c r="D29" s="125"/>
      <c r="E29" s="125"/>
      <c r="F29" s="126">
        <f>COUNTIF(E4:E23,"Physical Contradiction")</f>
        <v>1</v>
      </c>
      <c r="G29" s="126"/>
    </row>
    <row r="30" spans="2:10" ht="19.5" customHeight="1" x14ac:dyDescent="0.25">
      <c r="B30" s="125" t="s">
        <v>1220</v>
      </c>
      <c r="C30" s="125"/>
      <c r="D30" s="125"/>
      <c r="E30" s="125"/>
      <c r="F30" s="126">
        <f>COUNTIF(H4:H23,"Level 3")+COUNTIF(H4:H23,"Level 4")+COUNTIF(H4:H23,"Level 5")</f>
        <v>0</v>
      </c>
      <c r="G30" s="126"/>
    </row>
    <row r="31" spans="2:10" ht="19.5" customHeight="1" x14ac:dyDescent="0.25">
      <c r="B31" s="125" t="s">
        <v>1221</v>
      </c>
      <c r="C31" s="125"/>
      <c r="D31" s="125"/>
      <c r="E31" s="125"/>
      <c r="F31" s="126">
        <f>COUNTIF(J4:J23,"Implemented")</f>
        <v>0</v>
      </c>
      <c r="G31" s="126"/>
    </row>
    <row r="32" spans="2:10" ht="19.5" customHeight="1" x14ac:dyDescent="0.25">
      <c r="B32" s="125" t="s">
        <v>1215</v>
      </c>
      <c r="C32" s="125"/>
      <c r="D32" s="125"/>
      <c r="E32" s="125"/>
      <c r="F32" s="126">
        <f>COUNTIF(J4:J23,"In progress")</f>
        <v>1</v>
      </c>
      <c r="G32" s="126"/>
    </row>
  </sheetData>
  <mergeCells count="15">
    <mergeCell ref="B31:E31"/>
    <mergeCell ref="F31:G31"/>
    <mergeCell ref="B32:E32"/>
    <mergeCell ref="F32:G32"/>
    <mergeCell ref="B28:E28"/>
    <mergeCell ref="F28:G28"/>
    <mergeCell ref="B29:E29"/>
    <mergeCell ref="F29:G29"/>
    <mergeCell ref="B30:E30"/>
    <mergeCell ref="F30:G30"/>
    <mergeCell ref="B1:J1"/>
    <mergeCell ref="B2:J2"/>
    <mergeCell ref="B26:J26"/>
    <mergeCell ref="B27:E27"/>
    <mergeCell ref="F27:G27"/>
  </mergeCells>
  <dataValidations count="3">
    <dataValidation type="list" allowBlank="1" sqref="E4:E23" xr:uid="{00000000-0002-0000-0700-000000000000}">
      <formula1>"Technical Contradiction,Physical Contradiction"</formula1>
      <formula2>0</formula2>
    </dataValidation>
    <dataValidation type="list" allowBlank="1" sqref="H4:H23" xr:uid="{00000000-0002-0000-0700-000001000000}">
      <formula1>"Level 1,Level 2,Level 3,Level 4,Level 5"</formula1>
      <formula2>0</formula2>
    </dataValidation>
    <dataValidation type="list" allowBlank="1" sqref="J4:J23" xr:uid="{00000000-0002-0000-0700-000002000000}">
      <formula1>"In progress,Solution identified,Implemented,On hold,Abandoned"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E8449"/>
  </sheetPr>
  <dimension ref="A1:E42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6" customWidth="1"/>
    <col min="2" max="2" width="26" customWidth="1"/>
    <col min="3" max="5" width="38" customWidth="1"/>
  </cols>
  <sheetData>
    <row r="1" spans="1:5" ht="31.5" customHeight="1" x14ac:dyDescent="0.25">
      <c r="A1" s="127" t="s">
        <v>1222</v>
      </c>
      <c r="B1" s="127"/>
      <c r="C1" s="127"/>
      <c r="D1" s="127"/>
      <c r="E1" s="127"/>
    </row>
    <row r="2" spans="1:5" ht="19.5" customHeight="1" x14ac:dyDescent="0.25">
      <c r="A2" s="19" t="s">
        <v>986</v>
      </c>
      <c r="B2" s="19" t="s">
        <v>61</v>
      </c>
      <c r="C2" s="19" t="s">
        <v>1223</v>
      </c>
      <c r="D2" s="19" t="s">
        <v>1224</v>
      </c>
      <c r="E2" s="19" t="s">
        <v>1225</v>
      </c>
    </row>
    <row r="3" spans="1:5" ht="42" customHeight="1" x14ac:dyDescent="0.25">
      <c r="A3" s="94">
        <v>1</v>
      </c>
      <c r="B3" s="95" t="s">
        <v>989</v>
      </c>
      <c r="C3" s="50" t="s">
        <v>1226</v>
      </c>
      <c r="D3" s="50" t="s">
        <v>1227</v>
      </c>
      <c r="E3" s="50" t="s">
        <v>1228</v>
      </c>
    </row>
    <row r="4" spans="1:5" ht="42" customHeight="1" x14ac:dyDescent="0.25">
      <c r="A4" s="94">
        <v>2</v>
      </c>
      <c r="B4" s="95" t="s">
        <v>1012</v>
      </c>
      <c r="C4" s="88" t="s">
        <v>1229</v>
      </c>
      <c r="D4" s="88" t="s">
        <v>1230</v>
      </c>
      <c r="E4" s="88" t="s">
        <v>1231</v>
      </c>
    </row>
    <row r="5" spans="1:5" ht="42" customHeight="1" x14ac:dyDescent="0.25">
      <c r="A5" s="94">
        <v>3</v>
      </c>
      <c r="B5" s="95" t="s">
        <v>1014</v>
      </c>
      <c r="C5" s="50" t="s">
        <v>1232</v>
      </c>
      <c r="D5" s="50" t="s">
        <v>1233</v>
      </c>
      <c r="E5" s="50" t="s">
        <v>1234</v>
      </c>
    </row>
    <row r="6" spans="1:5" ht="42" customHeight="1" x14ac:dyDescent="0.25">
      <c r="A6" s="94">
        <v>4</v>
      </c>
      <c r="B6" s="95" t="s">
        <v>1016</v>
      </c>
      <c r="C6" s="88" t="s">
        <v>1235</v>
      </c>
      <c r="D6" s="88" t="s">
        <v>1236</v>
      </c>
      <c r="E6" s="88" t="s">
        <v>1237</v>
      </c>
    </row>
    <row r="7" spans="1:5" ht="42" customHeight="1" x14ac:dyDescent="0.25">
      <c r="A7" s="94">
        <v>5</v>
      </c>
      <c r="B7" s="95" t="s">
        <v>1051</v>
      </c>
      <c r="C7" s="50" t="s">
        <v>1238</v>
      </c>
      <c r="D7" s="50" t="s">
        <v>1239</v>
      </c>
      <c r="E7" s="50" t="s">
        <v>1240</v>
      </c>
    </row>
    <row r="8" spans="1:5" ht="42" customHeight="1" x14ac:dyDescent="0.25">
      <c r="A8" s="94">
        <v>6</v>
      </c>
      <c r="B8" s="95" t="s">
        <v>1053</v>
      </c>
      <c r="C8" s="88" t="s">
        <v>1241</v>
      </c>
      <c r="D8" s="88" t="s">
        <v>1242</v>
      </c>
      <c r="E8" s="88" t="s">
        <v>1243</v>
      </c>
    </row>
    <row r="9" spans="1:5" ht="42" customHeight="1" x14ac:dyDescent="0.25">
      <c r="A9" s="94">
        <v>7</v>
      </c>
      <c r="B9" s="95" t="s">
        <v>991</v>
      </c>
      <c r="C9" s="50" t="s">
        <v>1244</v>
      </c>
      <c r="D9" s="50" t="s">
        <v>1245</v>
      </c>
      <c r="E9" s="50" t="s">
        <v>1246</v>
      </c>
    </row>
    <row r="10" spans="1:5" ht="42" customHeight="1" x14ac:dyDescent="0.25">
      <c r="A10" s="94">
        <v>8</v>
      </c>
      <c r="B10" s="95" t="s">
        <v>1055</v>
      </c>
      <c r="C10" s="88" t="s">
        <v>1247</v>
      </c>
      <c r="D10" s="88" t="s">
        <v>1248</v>
      </c>
      <c r="E10" s="88" t="s">
        <v>1249</v>
      </c>
    </row>
    <row r="11" spans="1:5" ht="42" customHeight="1" x14ac:dyDescent="0.25">
      <c r="A11" s="94">
        <v>9</v>
      </c>
      <c r="B11" s="95" t="s">
        <v>993</v>
      </c>
      <c r="C11" s="50" t="s">
        <v>1250</v>
      </c>
      <c r="D11" s="50" t="s">
        <v>1251</v>
      </c>
      <c r="E11" s="50" t="s">
        <v>1252</v>
      </c>
    </row>
    <row r="12" spans="1:5" ht="42" customHeight="1" x14ac:dyDescent="0.25">
      <c r="A12" s="94">
        <v>10</v>
      </c>
      <c r="B12" s="95" t="s">
        <v>995</v>
      </c>
      <c r="C12" s="88" t="s">
        <v>1253</v>
      </c>
      <c r="D12" s="88" t="s">
        <v>1254</v>
      </c>
      <c r="E12" s="88" t="s">
        <v>1255</v>
      </c>
    </row>
    <row r="13" spans="1:5" ht="42" customHeight="1" x14ac:dyDescent="0.25">
      <c r="A13" s="94">
        <v>11</v>
      </c>
      <c r="B13" s="95" t="s">
        <v>997</v>
      </c>
      <c r="C13" s="50" t="s">
        <v>1256</v>
      </c>
      <c r="D13" s="50" t="s">
        <v>1257</v>
      </c>
      <c r="E13" s="50" t="s">
        <v>1258</v>
      </c>
    </row>
    <row r="14" spans="1:5" ht="42" customHeight="1" x14ac:dyDescent="0.25">
      <c r="A14" s="94">
        <v>12</v>
      </c>
      <c r="B14" s="95" t="s">
        <v>1259</v>
      </c>
      <c r="C14" s="88" t="s">
        <v>1260</v>
      </c>
      <c r="D14" s="88" t="s">
        <v>1261</v>
      </c>
      <c r="E14" s="88" t="s">
        <v>1262</v>
      </c>
    </row>
    <row r="15" spans="1:5" ht="42" customHeight="1" x14ac:dyDescent="0.25">
      <c r="A15" s="94">
        <v>13</v>
      </c>
      <c r="B15" s="95" t="s">
        <v>1019</v>
      </c>
      <c r="C15" s="50" t="s">
        <v>1263</v>
      </c>
      <c r="D15" s="50" t="s">
        <v>1264</v>
      </c>
      <c r="E15" s="50" t="s">
        <v>1265</v>
      </c>
    </row>
    <row r="16" spans="1:5" ht="42" customHeight="1" x14ac:dyDescent="0.25">
      <c r="A16" s="94">
        <v>14</v>
      </c>
      <c r="B16" s="95" t="s">
        <v>1266</v>
      </c>
      <c r="C16" s="88" t="s">
        <v>1267</v>
      </c>
      <c r="D16" s="88" t="s">
        <v>1268</v>
      </c>
      <c r="E16" s="88" t="s">
        <v>1269</v>
      </c>
    </row>
    <row r="17" spans="1:5" ht="42" customHeight="1" x14ac:dyDescent="0.25">
      <c r="A17" s="94">
        <v>15</v>
      </c>
      <c r="B17" s="95" t="s">
        <v>999</v>
      </c>
      <c r="C17" s="50" t="s">
        <v>1270</v>
      </c>
      <c r="D17" s="50" t="s">
        <v>1271</v>
      </c>
      <c r="E17" s="50" t="s">
        <v>1272</v>
      </c>
    </row>
    <row r="18" spans="1:5" ht="42" customHeight="1" x14ac:dyDescent="0.25">
      <c r="A18" s="94">
        <v>16</v>
      </c>
      <c r="B18" s="95" t="s">
        <v>1273</v>
      </c>
      <c r="C18" s="88" t="s">
        <v>1274</v>
      </c>
      <c r="D18" s="88" t="s">
        <v>1275</v>
      </c>
      <c r="E18" s="88" t="s">
        <v>1276</v>
      </c>
    </row>
    <row r="19" spans="1:5" ht="42" customHeight="1" x14ac:dyDescent="0.25">
      <c r="A19" s="94">
        <v>17</v>
      </c>
      <c r="B19" s="95" t="s">
        <v>1023</v>
      </c>
      <c r="C19" s="50" t="s">
        <v>1277</v>
      </c>
      <c r="D19" s="50" t="s">
        <v>1278</v>
      </c>
      <c r="E19" s="50" t="s">
        <v>1279</v>
      </c>
    </row>
    <row r="20" spans="1:5" ht="42" customHeight="1" x14ac:dyDescent="0.25">
      <c r="A20" s="94">
        <v>18</v>
      </c>
      <c r="B20" s="95" t="s">
        <v>1001</v>
      </c>
      <c r="C20" s="88" t="s">
        <v>1280</v>
      </c>
      <c r="D20" s="88" t="s">
        <v>1281</v>
      </c>
      <c r="E20" s="88" t="s">
        <v>1282</v>
      </c>
    </row>
    <row r="21" spans="1:5" ht="42" customHeight="1" x14ac:dyDescent="0.25">
      <c r="A21" s="94">
        <v>19</v>
      </c>
      <c r="B21" s="95" t="s">
        <v>1003</v>
      </c>
      <c r="C21" s="50" t="s">
        <v>1283</v>
      </c>
      <c r="D21" s="50" t="s">
        <v>1284</v>
      </c>
      <c r="E21" s="50" t="s">
        <v>1285</v>
      </c>
    </row>
    <row r="22" spans="1:5" ht="42" customHeight="1" x14ac:dyDescent="0.25">
      <c r="A22" s="94">
        <v>20</v>
      </c>
      <c r="B22" s="95" t="s">
        <v>1286</v>
      </c>
      <c r="C22" s="88" t="s">
        <v>1287</v>
      </c>
      <c r="D22" s="88" t="s">
        <v>1288</v>
      </c>
      <c r="E22" s="88" t="s">
        <v>1289</v>
      </c>
    </row>
    <row r="23" spans="1:5" ht="42" customHeight="1" x14ac:dyDescent="0.25">
      <c r="A23" s="94">
        <v>21</v>
      </c>
      <c r="B23" s="95" t="s">
        <v>1005</v>
      </c>
      <c r="C23" s="50" t="s">
        <v>1290</v>
      </c>
      <c r="D23" s="50" t="s">
        <v>1291</v>
      </c>
      <c r="E23" s="50" t="s">
        <v>1292</v>
      </c>
    </row>
    <row r="24" spans="1:5" ht="42" customHeight="1" x14ac:dyDescent="0.25">
      <c r="A24" s="94">
        <v>22</v>
      </c>
      <c r="B24" s="95" t="s">
        <v>1058</v>
      </c>
      <c r="C24" s="88" t="s">
        <v>1293</v>
      </c>
      <c r="D24" s="88" t="s">
        <v>1294</v>
      </c>
      <c r="E24" s="88" t="s">
        <v>1295</v>
      </c>
    </row>
    <row r="25" spans="1:5" ht="42" customHeight="1" x14ac:dyDescent="0.25">
      <c r="A25" s="94">
        <v>23</v>
      </c>
      <c r="B25" s="95" t="s">
        <v>1296</v>
      </c>
      <c r="C25" s="50" t="s">
        <v>1297</v>
      </c>
      <c r="D25" s="50" t="s">
        <v>1298</v>
      </c>
      <c r="E25" s="50" t="s">
        <v>1299</v>
      </c>
    </row>
    <row r="26" spans="1:5" ht="42" customHeight="1" x14ac:dyDescent="0.25">
      <c r="A26" s="94">
        <v>24</v>
      </c>
      <c r="B26" s="95" t="s">
        <v>1025</v>
      </c>
      <c r="C26" s="88" t="s">
        <v>1300</v>
      </c>
      <c r="D26" s="88" t="s">
        <v>1301</v>
      </c>
      <c r="E26" s="88" t="s">
        <v>1302</v>
      </c>
    </row>
    <row r="27" spans="1:5" ht="42" customHeight="1" x14ac:dyDescent="0.25">
      <c r="A27" s="94">
        <v>25</v>
      </c>
      <c r="B27" s="95" t="s">
        <v>1060</v>
      </c>
      <c r="C27" s="50" t="s">
        <v>1303</v>
      </c>
      <c r="D27" s="50" t="s">
        <v>1304</v>
      </c>
      <c r="E27" s="50" t="s">
        <v>1305</v>
      </c>
    </row>
    <row r="28" spans="1:5" ht="42" customHeight="1" x14ac:dyDescent="0.25">
      <c r="A28" s="94">
        <v>26</v>
      </c>
      <c r="B28" s="95" t="s">
        <v>1306</v>
      </c>
      <c r="C28" s="88" t="s">
        <v>1307</v>
      </c>
      <c r="D28" s="88" t="s">
        <v>1308</v>
      </c>
      <c r="E28" s="88" t="s">
        <v>1309</v>
      </c>
    </row>
    <row r="29" spans="1:5" ht="42" customHeight="1" x14ac:dyDescent="0.25">
      <c r="A29" s="94">
        <v>27</v>
      </c>
      <c r="B29" s="95" t="s">
        <v>1310</v>
      </c>
      <c r="C29" s="50" t="s">
        <v>1311</v>
      </c>
      <c r="D29" s="50" t="s">
        <v>1312</v>
      </c>
      <c r="E29" s="50" t="s">
        <v>1313</v>
      </c>
    </row>
    <row r="30" spans="1:5" ht="42" customHeight="1" x14ac:dyDescent="0.25">
      <c r="A30" s="94">
        <v>28</v>
      </c>
      <c r="B30" s="95" t="s">
        <v>1031</v>
      </c>
      <c r="C30" s="88" t="s">
        <v>1314</v>
      </c>
      <c r="D30" s="88" t="s">
        <v>1315</v>
      </c>
      <c r="E30" s="88" t="s">
        <v>1316</v>
      </c>
    </row>
    <row r="31" spans="1:5" ht="42" customHeight="1" x14ac:dyDescent="0.25">
      <c r="A31" s="94">
        <v>29</v>
      </c>
      <c r="B31" s="95" t="s">
        <v>1033</v>
      </c>
      <c r="C31" s="50" t="s">
        <v>1317</v>
      </c>
      <c r="D31" s="50" t="s">
        <v>1318</v>
      </c>
      <c r="E31" s="50" t="s">
        <v>1319</v>
      </c>
    </row>
    <row r="32" spans="1:5" ht="42" customHeight="1" x14ac:dyDescent="0.25">
      <c r="A32" s="94">
        <v>30</v>
      </c>
      <c r="B32" s="95" t="s">
        <v>1320</v>
      </c>
      <c r="C32" s="88" t="s">
        <v>1321</v>
      </c>
      <c r="D32" s="88" t="s">
        <v>1322</v>
      </c>
      <c r="E32" s="88" t="s">
        <v>1323</v>
      </c>
    </row>
    <row r="33" spans="1:5" ht="42" customHeight="1" x14ac:dyDescent="0.25">
      <c r="A33" s="94">
        <v>31</v>
      </c>
      <c r="B33" s="95" t="s">
        <v>1035</v>
      </c>
      <c r="C33" s="50" t="s">
        <v>1324</v>
      </c>
      <c r="D33" s="50" t="s">
        <v>1325</v>
      </c>
      <c r="E33" s="50" t="s">
        <v>1326</v>
      </c>
    </row>
    <row r="34" spans="1:5" ht="42" customHeight="1" x14ac:dyDescent="0.25">
      <c r="A34" s="94">
        <v>32</v>
      </c>
      <c r="B34" s="95" t="s">
        <v>1037</v>
      </c>
      <c r="C34" s="88" t="s">
        <v>1327</v>
      </c>
      <c r="D34" s="88" t="s">
        <v>1328</v>
      </c>
      <c r="E34" s="88" t="s">
        <v>1329</v>
      </c>
    </row>
    <row r="35" spans="1:5" ht="42" customHeight="1" x14ac:dyDescent="0.25">
      <c r="A35" s="94">
        <v>33</v>
      </c>
      <c r="B35" s="95" t="s">
        <v>1330</v>
      </c>
      <c r="C35" s="50" t="s">
        <v>1331</v>
      </c>
      <c r="D35" s="50" t="s">
        <v>1332</v>
      </c>
      <c r="E35" s="50" t="s">
        <v>1333</v>
      </c>
    </row>
    <row r="36" spans="1:5" ht="42" customHeight="1" x14ac:dyDescent="0.25">
      <c r="A36" s="94">
        <v>34</v>
      </c>
      <c r="B36" s="95" t="s">
        <v>1007</v>
      </c>
      <c r="C36" s="88" t="s">
        <v>1334</v>
      </c>
      <c r="D36" s="88" t="s">
        <v>1335</v>
      </c>
      <c r="E36" s="88" t="s">
        <v>1336</v>
      </c>
    </row>
    <row r="37" spans="1:5" ht="42" customHeight="1" x14ac:dyDescent="0.25">
      <c r="A37" s="94">
        <v>35</v>
      </c>
      <c r="B37" s="95" t="s">
        <v>1039</v>
      </c>
      <c r="C37" s="50" t="s">
        <v>1337</v>
      </c>
      <c r="D37" s="50" t="s">
        <v>1338</v>
      </c>
      <c r="E37" s="50" t="s">
        <v>1339</v>
      </c>
    </row>
    <row r="38" spans="1:5" ht="42" customHeight="1" x14ac:dyDescent="0.25">
      <c r="A38" s="94">
        <v>36</v>
      </c>
      <c r="B38" s="95" t="s">
        <v>1041</v>
      </c>
      <c r="C38" s="88" t="s">
        <v>1340</v>
      </c>
      <c r="D38" s="88" t="s">
        <v>1341</v>
      </c>
      <c r="E38" s="88" t="s">
        <v>1342</v>
      </c>
    </row>
    <row r="39" spans="1:5" ht="42" customHeight="1" x14ac:dyDescent="0.25">
      <c r="A39" s="94">
        <v>37</v>
      </c>
      <c r="B39" s="95" t="s">
        <v>1343</v>
      </c>
      <c r="C39" s="50" t="s">
        <v>1344</v>
      </c>
      <c r="D39" s="50" t="s">
        <v>1345</v>
      </c>
      <c r="E39" s="50" t="s">
        <v>1346</v>
      </c>
    </row>
    <row r="40" spans="1:5" ht="42" customHeight="1" x14ac:dyDescent="0.25">
      <c r="A40" s="94">
        <v>38</v>
      </c>
      <c r="B40" s="95" t="s">
        <v>1043</v>
      </c>
      <c r="C40" s="88" t="s">
        <v>1347</v>
      </c>
      <c r="D40" s="88" t="s">
        <v>1348</v>
      </c>
      <c r="E40" s="88" t="s">
        <v>1349</v>
      </c>
    </row>
    <row r="41" spans="1:5" ht="42" customHeight="1" x14ac:dyDescent="0.25">
      <c r="A41" s="94">
        <v>39</v>
      </c>
      <c r="B41" s="95" t="s">
        <v>1045</v>
      </c>
      <c r="C41" s="50" t="s">
        <v>1350</v>
      </c>
      <c r="D41" s="50" t="s">
        <v>1351</v>
      </c>
      <c r="E41" s="50" t="s">
        <v>1352</v>
      </c>
    </row>
    <row r="42" spans="1:5" ht="42" customHeight="1" x14ac:dyDescent="0.25">
      <c r="A42" s="94">
        <v>40</v>
      </c>
      <c r="B42" s="95" t="s">
        <v>1064</v>
      </c>
      <c r="C42" s="88" t="s">
        <v>1353</v>
      </c>
      <c r="D42" s="88" t="s">
        <v>1354</v>
      </c>
      <c r="E42" s="88" t="s">
        <v>1355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How to Use</vt:lpstr>
      <vt:lpstr>TRIZ Navigator</vt:lpstr>
      <vt:lpstr>Altshuller Matrix</vt:lpstr>
      <vt:lpstr>Separation Principles</vt:lpstr>
      <vt:lpstr>TC Matrix</vt:lpstr>
      <vt:lpstr>Principle Scoring</vt:lpstr>
      <vt:lpstr>Case Study Library</vt:lpstr>
      <vt:lpstr>Problem History Log</vt:lpstr>
      <vt:lpstr>Appendix</vt:lpstr>
      <vt:lpstr>'TRIZ Navigator'!Print_Area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jeremy how</cp:lastModifiedBy>
  <cp:revision>0</cp:revision>
  <dcterms:created xsi:type="dcterms:W3CDTF">2026-03-31T12:01:17Z</dcterms:created>
  <dcterms:modified xsi:type="dcterms:W3CDTF">2026-05-04T13:11:55Z</dcterms:modified>
  <dc:language>en-US</dc:language>
</cp:coreProperties>
</file>