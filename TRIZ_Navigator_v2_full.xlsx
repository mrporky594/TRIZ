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1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TRIZ Navigator" sheetId="2" state="visible" r:id="rId2"/>
    <sheet xmlns:r="http://schemas.openxmlformats.org/officeDocument/2006/relationships" name="Altshuller Matrix" sheetId="3" state="visible" r:id="rId3"/>
    <sheet xmlns:r="http://schemas.openxmlformats.org/officeDocument/2006/relationships" name="Separation Principles" sheetId="4" state="visible" r:id="rId4"/>
    <sheet xmlns:r="http://schemas.openxmlformats.org/officeDocument/2006/relationships" name="TC Matrix" sheetId="5" state="visible" r:id="rId5"/>
    <sheet xmlns:r="http://schemas.openxmlformats.org/officeDocument/2006/relationships" name="Principle Scoring" sheetId="6" state="visible" r:id="rId6"/>
    <sheet xmlns:r="http://schemas.openxmlformats.org/officeDocument/2006/relationships" name="Case Study Library" sheetId="7" state="visible" r:id="rId7"/>
    <sheet xmlns:r="http://schemas.openxmlformats.org/officeDocument/2006/relationships" name="Problem History Log" sheetId="8" state="visible" r:id="rId8"/>
    <sheet xmlns:r="http://schemas.openxmlformats.org/officeDocument/2006/relationships" name="Appendix" sheetId="9" state="visible" r:id="rId9"/>
    <sheet xmlns:r="http://schemas.openxmlformats.org/officeDocument/2006/relationships" name="LookupData" sheetId="10" state="hidden" r:id="rId10"/>
    <sheet xmlns:r="http://schemas.openxmlformats.org/officeDocument/2006/relationships" name="DetailedPrinciples" sheetId="11" state="hidden" r:id="rId11"/>
  </sheets>
  <definedNames>
    <definedName name="_xlnm.Print_Area" localSheetId="1">'TRIZ Navigator'!$A$1:$F$68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4">
    <font>
      <name val="Calibri"/>
      <charset val="1"/>
      <family val="2"/>
      <color theme="1"/>
      <sz val="11"/>
    </font>
    <font>
      <name val="Arial"/>
      <charset val="1"/>
      <b val="1"/>
      <color rgb="FFFFFFFF"/>
      <sz val="15"/>
    </font>
    <font>
      <name val="Arial"/>
      <charset val="1"/>
      <b val="1"/>
      <color rgb="FF1A5276"/>
      <sz val="10"/>
    </font>
    <font>
      <name val="Arial"/>
      <charset val="1"/>
      <color rgb="FF000000"/>
      <sz val="10"/>
    </font>
    <font>
      <name val="Arial"/>
      <charset val="1"/>
      <b val="1"/>
      <color rgb="FFFFFFFF"/>
      <sz val="11"/>
    </font>
    <font>
      <name val="Arial"/>
      <charset val="1"/>
      <b val="1"/>
      <color rgb="FFFFFFFF"/>
      <sz val="16"/>
    </font>
    <font>
      <name val="Arial"/>
      <charset val="1"/>
      <b val="1"/>
      <color rgb="FF000000"/>
      <sz val="10"/>
    </font>
    <font>
      <name val="Arial"/>
      <charset val="1"/>
      <color rgb="FF1A1A1A"/>
      <sz val="10"/>
    </font>
    <font>
      <name val="Arial"/>
      <charset val="1"/>
      <b val="1"/>
      <color rgb="FFFFFFFF"/>
      <sz val="10"/>
    </font>
    <font>
      <name val="Arial"/>
      <charset val="1"/>
      <b val="1"/>
      <color rgb="FF6C3483"/>
      <sz val="10"/>
    </font>
    <font>
      <name val="Arial"/>
      <charset val="1"/>
      <b val="1"/>
      <color rgb="FF2C3E50"/>
      <sz val="10"/>
    </font>
    <font>
      <name val="Arial"/>
      <charset val="1"/>
      <color rgb="FF1A5276"/>
      <sz val="10"/>
    </font>
    <font>
      <name val="Arial"/>
      <charset val="1"/>
      <i val="1"/>
      <color rgb="FF000000"/>
      <sz val="9"/>
    </font>
    <font>
      <name val="Arial"/>
      <charset val="1"/>
      <i val="1"/>
      <color rgb="FFF39C12"/>
      <sz val="9"/>
    </font>
    <font>
      <name val="Arial"/>
      <charset val="1"/>
      <color rgb="FF000000"/>
      <sz val="9"/>
    </font>
    <font>
      <name val="Arial"/>
      <charset val="1"/>
      <b val="1"/>
      <color rgb="FF1E8449"/>
      <sz val="10"/>
    </font>
    <font>
      <name val="Arial"/>
      <charset val="1"/>
      <b val="1"/>
      <color rgb="FFFFFFFF"/>
      <sz val="13"/>
    </font>
    <font>
      <name val="Arial"/>
      <charset val="1"/>
      <i val="1"/>
      <color rgb="FF2C3E50"/>
      <sz val="9"/>
    </font>
    <font>
      <name val="Arial"/>
      <charset val="1"/>
      <b val="1"/>
      <color rgb="FFFFFFFF"/>
      <sz val="7.5"/>
    </font>
    <font>
      <name val="Arial"/>
      <charset val="1"/>
      <b val="1"/>
      <color rgb="FFFFFFFF"/>
      <sz val="8"/>
    </font>
    <font>
      <name val="Arial"/>
      <charset val="1"/>
      <color rgb="FF888888"/>
      <sz val="7"/>
    </font>
    <font>
      <name val="Arial"/>
      <charset val="1"/>
      <b val="1"/>
      <color rgb="FF1A5276"/>
      <sz val="7"/>
    </font>
    <font>
      <name val="Arial"/>
      <charset val="1"/>
      <color rgb="FFCCCCCC"/>
      <sz val="7"/>
    </font>
    <font>
      <name val="Arial"/>
      <charset val="1"/>
      <b val="1"/>
      <color rgb="FFFFFFFF"/>
      <sz val="14"/>
    </font>
    <font>
      <name val="Arial"/>
      <charset val="1"/>
      <b val="1"/>
      <color rgb="FFFFFFFF"/>
      <sz val="12"/>
    </font>
    <font>
      <name val="Arial"/>
      <charset val="1"/>
      <i val="1"/>
      <color rgb="FF1E8449"/>
      <sz val="9"/>
    </font>
    <font>
      <name val="Arial"/>
      <charset val="1"/>
      <b val="1"/>
      <color rgb="FFFFFFFF"/>
      <sz val="9"/>
    </font>
    <font>
      <name val="Arial"/>
      <charset val="1"/>
      <b val="1"/>
      <color rgb="FF1E8449"/>
      <sz val="11"/>
    </font>
    <font>
      <name val="Arial"/>
      <charset val="1"/>
      <b val="1"/>
      <color rgb="FF000000"/>
      <sz val="9"/>
    </font>
    <font>
      <name val="Arial"/>
      <charset val="1"/>
      <b val="1"/>
      <color rgb="FF1A5276"/>
      <sz val="12"/>
    </font>
    <font>
      <name val="Calibri"/>
      <b val="1"/>
      <color rgb="FFCC0000"/>
      <sz val="11"/>
    </font>
    <font>
      <b val="1"/>
      <color rgb="002E86C1"/>
      <sz val="12"/>
    </font>
    <font>
      <i val="1"/>
      <color rgb="007F8C8D"/>
    </font>
    <font>
      <b val="1"/>
    </font>
  </fonts>
  <fills count="27">
    <fill>
      <patternFill/>
    </fill>
    <fill>
      <patternFill patternType="gray125"/>
    </fill>
    <fill>
      <patternFill patternType="solid">
        <fgColor rgb="FF2C3E50"/>
        <bgColor rgb="FF154360"/>
      </patternFill>
    </fill>
    <fill>
      <patternFill patternType="solid">
        <fgColor rgb="FFD6EAF8"/>
        <bgColor rgb="FFD5F5E3"/>
      </patternFill>
    </fill>
    <fill>
      <patternFill patternType="solid">
        <fgColor rgb="FFFFFFFF"/>
        <bgColor rgb="FFFEF9E7"/>
      </patternFill>
    </fill>
    <fill>
      <patternFill patternType="solid">
        <fgColor rgb="FF1A5276"/>
        <bgColor rgb="FF154360"/>
      </patternFill>
    </fill>
    <fill>
      <patternFill patternType="solid">
        <fgColor rgb="FF2E86C1"/>
        <bgColor rgb="FF2980B9"/>
      </patternFill>
    </fill>
    <fill>
      <patternFill patternType="solid">
        <fgColor rgb="FF1E8449"/>
        <bgColor rgb="FF117A65"/>
      </patternFill>
    </fill>
    <fill>
      <patternFill patternType="solid">
        <fgColor rgb="FFC0392B"/>
        <bgColor rgb="FFAA4444"/>
      </patternFill>
    </fill>
    <fill>
      <patternFill patternType="solid">
        <fgColor rgb="FF6C3483"/>
        <bgColor rgb="FF7D3C98"/>
      </patternFill>
    </fill>
    <fill>
      <patternFill patternType="solid">
        <fgColor rgb="FFD5F5E3"/>
        <bgColor rgb="FFD6EAF8"/>
      </patternFill>
    </fill>
    <fill>
      <patternFill patternType="solid">
        <fgColor rgb="FFF2F3F4"/>
        <bgColor rgb="FFEBF5FB"/>
      </patternFill>
    </fill>
    <fill>
      <patternFill patternType="solid">
        <fgColor rgb="FFFADBD8"/>
        <bgColor rgb="FFE8DAEF"/>
      </patternFill>
    </fill>
    <fill>
      <patternFill patternType="solid">
        <fgColor rgb="FFE8DAEF"/>
        <bgColor rgb="FFDDDDDD"/>
      </patternFill>
    </fill>
    <fill>
      <patternFill patternType="solid">
        <fgColor rgb="FFF39C12"/>
        <bgColor rgb="FFE67E22"/>
      </patternFill>
    </fill>
    <fill>
      <patternFill patternType="solid">
        <fgColor rgb="FFFEF9E7"/>
        <bgColor rgb="FFF2F3F4"/>
      </patternFill>
    </fill>
    <fill>
      <patternFill patternType="solid">
        <fgColor rgb="FFEBF5FB"/>
        <bgColor rgb="FFF2F3F4"/>
      </patternFill>
    </fill>
    <fill>
      <patternFill patternType="solid">
        <fgColor rgb="FF2A9D2A"/>
        <bgColor rgb="FF27AE60"/>
      </patternFill>
    </fill>
    <fill>
      <patternFill patternType="solid">
        <fgColor rgb="FF4CAF50"/>
        <bgColor rgb="FF27AE60"/>
      </patternFill>
    </fill>
    <fill>
      <patternFill patternType="solid">
        <fgColor rgb="FF2471A3"/>
        <bgColor rgb="FF2980B9"/>
      </patternFill>
    </fill>
    <fill>
      <patternFill patternType="solid">
        <fgColor rgb="FF7D3C98"/>
        <bgColor rgb="FF6C3483"/>
      </patternFill>
    </fill>
    <fill>
      <patternFill patternType="solid">
        <fgColor rgb="FF2980B9"/>
        <bgColor rgb="FF2E86C1"/>
      </patternFill>
    </fill>
    <fill>
      <patternFill patternType="solid">
        <fgColor rgb="FF117A65"/>
        <bgColor rgb="FF1E8449"/>
      </patternFill>
    </fill>
    <fill>
      <patternFill patternType="solid">
        <fgColor rgb="FFE67E22"/>
        <bgColor rgb="FFF39C12"/>
      </patternFill>
    </fill>
    <fill>
      <patternFill patternType="solid">
        <fgColor rgb="FF154360"/>
        <bgColor rgb="FF1A5276"/>
      </patternFill>
    </fill>
    <fill>
      <patternFill patternType="solid">
        <fgColor rgb="FFFDEBD0"/>
        <bgColor rgb="FFFADBD8"/>
      </patternFill>
    </fill>
    <fill>
      <patternFill patternType="solid">
        <fgColor rgb="FF27AE60"/>
        <bgColor rgb="FF4CAF50"/>
      </patternFill>
    </fill>
  </fills>
  <borders count="6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2E86C1"/>
      </left>
      <right/>
      <top style="thin">
        <color rgb="FF2E86C1"/>
      </top>
      <bottom style="thin">
        <color rgb="FF2E86C1"/>
      </bottom>
      <diagonal/>
    </border>
    <border>
      <left style="thin">
        <color rgb="FF6C3483"/>
      </left>
      <right style="thin">
        <color rgb="FF6C3483"/>
      </right>
      <top style="thin">
        <color rgb="FF6C3483"/>
      </top>
      <bottom/>
      <diagonal/>
    </border>
    <border>
      <left style="thin">
        <color rgb="FF2E86C1"/>
      </left>
      <right style="thin">
        <color rgb="FF2E86C1"/>
      </right>
      <top style="thin">
        <color rgb="FF2E86C1"/>
      </top>
      <bottom/>
      <diagonal/>
    </border>
    <border>
      <left style="thin">
        <color rgb="FF6C3483"/>
      </left>
      <right style="thin">
        <color rgb="FF6C3483"/>
      </right>
      <top style="thin">
        <color rgb="FF6C3483"/>
      </top>
      <bottom style="thin">
        <color rgb="FF6C3483"/>
      </bottom>
      <diagonal/>
    </border>
    <border>
      <left style="thin">
        <color rgb="FFF39C12"/>
      </left>
      <right/>
      <top style="thin">
        <color rgb="FFF39C12"/>
      </top>
      <bottom style="thin">
        <color rgb="FFF39C12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1E8449"/>
      </left>
      <right style="thin">
        <color rgb="FF1E8449"/>
      </right>
      <top style="thin">
        <color rgb="FF1E8449"/>
      </top>
      <bottom style="thin">
        <color rgb="FF1E8449"/>
      </bottom>
      <diagonal/>
    </border>
    <border>
      <left style="thin">
        <color rgb="FFAA4444"/>
      </left>
      <right style="thin">
        <color rgb="FFAA4444"/>
      </right>
      <top style="thin">
        <color rgb="FFAA4444"/>
      </top>
      <bottom style="thin">
        <color rgb="FFAA4444"/>
      </bottom>
      <diagonal/>
    </border>
    <border>
      <left style="thin">
        <color rgb="FF448844"/>
      </left>
      <right style="thin">
        <color rgb="FF448844"/>
      </right>
      <top style="thin">
        <color rgb="FF448844"/>
      </top>
      <bottom style="thin">
        <color rgb="FF448844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2E86C1"/>
      </left>
      <right style="thin">
        <color rgb="FF2E86C1"/>
      </right>
      <top style="thin">
        <color rgb="FF2E86C1"/>
      </top>
      <bottom style="thin">
        <color rgb="FF2E86C1"/>
      </bottom>
      <diagonal/>
    </border>
    <border>
      <left style="thin">
        <color rgb="FF1A5276"/>
      </left>
      <right style="thin">
        <color rgb="FF1A5276"/>
      </right>
      <top style="thin">
        <color rgb="FF1A5276"/>
      </top>
      <bottom style="thin">
        <color rgb="FF1A5276"/>
      </bottom>
      <diagonal/>
    </border>
    <border>
      <left style="thin">
        <color rgb="FFE67E22"/>
      </left>
      <right style="thin">
        <color rgb="FFE67E22"/>
      </right>
      <top style="thin">
        <color rgb="FFE67E22"/>
      </top>
      <bottom style="thin">
        <color rgb="FFE67E22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888888"/>
      </left>
      <right style="thin">
        <color rgb="FF888888"/>
      </right>
      <top/>
      <bottom style="thin">
        <color rgb="FF888888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1E8449"/>
      </left>
      <right style="thin">
        <color rgb="FF1E8449"/>
      </right>
      <top/>
      <bottom/>
      <diagonal/>
    </border>
    <border>
      <left style="thin">
        <color rgb="FF1E8449"/>
      </left>
      <right style="thin">
        <color rgb="FF1E8449"/>
      </right>
      <top/>
      <bottom style="thin">
        <color rgb="FF1E8449"/>
      </bottom>
      <diagonal/>
    </border>
    <border>
      <left/>
      <right/>
      <top style="thin">
        <color rgb="FFF39C12"/>
      </top>
      <bottom style="thin">
        <color rgb="FFF39C12"/>
      </bottom>
      <diagonal/>
    </border>
    <border>
      <left style="thin">
        <color rgb="FF6C3483"/>
      </left>
      <right style="thin">
        <color rgb="FF6C3483"/>
      </right>
      <top/>
      <bottom/>
      <diagonal/>
    </border>
    <border>
      <left style="thin">
        <color rgb="FF6C3483"/>
      </left>
      <right style="thin">
        <color rgb="FF6C3483"/>
      </right>
      <top/>
      <bottom style="thin">
        <color rgb="FF6C3483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2E86C1"/>
      </left>
      <right style="thin">
        <color rgb="FF2E86C1"/>
      </right>
      <top/>
      <bottom/>
      <diagonal/>
    </border>
    <border>
      <left/>
      <right/>
      <top style="thin">
        <color rgb="FF2E86C1"/>
      </top>
      <bottom style="thin">
        <color rgb="FF2E86C1"/>
      </bottom>
      <diagonal/>
    </border>
    <border>
      <left/>
      <right/>
      <top style="thin">
        <color rgb="FF1E8449"/>
      </top>
      <bottom style="thin">
        <color rgb="FF1E8449"/>
      </bottom>
      <diagonal/>
    </border>
    <border>
      <left/>
      <right style="thin">
        <color rgb="FF1E8449"/>
      </right>
      <top style="thin">
        <color rgb="FF1E8449"/>
      </top>
      <bottom style="thin">
        <color rgb="FF1E8449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2E86C1"/>
      </right>
      <top style="thin">
        <color rgb="FF2E86C1"/>
      </top>
      <bottom style="thin">
        <color rgb="FF2E86C1"/>
      </bottom>
      <diagonal/>
    </border>
    <border>
      <left/>
      <right/>
      <top style="thin">
        <color rgb="FF2E86C1"/>
      </top>
      <bottom/>
      <diagonal/>
    </border>
    <border>
      <left style="thin">
        <color rgb="FF888888"/>
      </left>
      <right/>
      <top/>
      <bottom/>
      <diagonal/>
    </border>
    <border>
      <left style="thin">
        <color rgb="FF888888"/>
      </left>
      <right style="thin">
        <color rgb="FF888888"/>
      </right>
      <top/>
      <bottom/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1E8449"/>
      </left>
      <right/>
      <top/>
      <bottom/>
      <diagonal/>
    </border>
    <border>
      <left style="thin">
        <color rgb="FF6C3483"/>
      </left>
      <right/>
      <top/>
      <bottom/>
      <diagonal/>
    </border>
    <border>
      <left/>
      <right/>
      <top style="thin">
        <color rgb="FFCCCCCC"/>
      </top>
      <bottom/>
      <diagonal/>
    </border>
    <border>
      <left style="thin">
        <color rgb="FFAAAAAA"/>
      </left>
      <right/>
      <top/>
      <bottom/>
      <diagonal/>
    </border>
    <border>
      <left style="thin">
        <color rgb="FFAAAAAA"/>
      </left>
      <right style="thin">
        <color rgb="FFAAAAAA"/>
      </right>
      <top/>
      <bottom/>
      <diagonal/>
    </border>
    <border>
      <left/>
      <right/>
      <top style="thin">
        <color rgb="FFF39C12"/>
      </top>
      <bottom/>
      <diagonal/>
    </border>
    <border>
      <left style="thin">
        <color rgb="FF2E86C1"/>
      </left>
      <right/>
      <top/>
      <bottom/>
      <diagonal/>
    </border>
    <border>
      <left/>
      <right/>
      <top style="thin">
        <color rgb="FF1E8449"/>
      </top>
      <bottom/>
      <diagonal/>
    </border>
    <border>
      <left/>
      <right style="thin">
        <color rgb="FF1E8449"/>
      </right>
      <top style="thin">
        <color rgb="FF1E8449"/>
      </top>
      <bottom/>
      <diagonal/>
    </border>
    <border>
      <left/>
      <right style="thin">
        <color rgb="FF2E86C1"/>
      </right>
      <top style="thin">
        <color rgb="FF2E86C1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/>
      <top style="thin">
        <color rgb="FF888888"/>
      </top>
      <bottom/>
      <diagonal/>
    </border>
    <border>
      <left/>
      <right style="thin">
        <color rgb="FF888888"/>
      </right>
      <top style="thin">
        <color rgb="FF888888"/>
      </top>
      <bottom/>
      <diagonal/>
    </border>
    <border>
      <left/>
      <right/>
      <top style="thin">
        <color rgb="FF888888"/>
      </top>
      <bottom style="thin">
        <color rgb="FF888888"/>
      </bottom>
      <diagonal/>
    </border>
    <border>
      <left/>
      <right style="thin">
        <color rgb="FF888888"/>
      </right>
      <top style="thin">
        <color rgb="FF888888"/>
      </top>
      <bottom style="thin">
        <color rgb="FF888888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/>
      <right style="thin">
        <color rgb="FFAAAAAA"/>
      </right>
      <top/>
      <bottom/>
      <diagonal/>
    </border>
    <border>
      <left/>
      <right style="thin">
        <color rgb="FF6C3483"/>
      </right>
      <top/>
      <bottom/>
      <diagonal/>
    </border>
    <border>
      <left/>
      <right/>
      <top/>
      <bottom style="thin">
        <color rgb="FF6C3483"/>
      </bottom>
      <diagonal/>
    </border>
    <border>
      <left/>
      <right style="thin">
        <color rgb="FF6C3483"/>
      </right>
      <top/>
      <bottom style="thin">
        <color rgb="FF6C3483"/>
      </bottom>
      <diagonal/>
    </border>
    <border>
      <left/>
      <right/>
      <top/>
      <bottom style="thin">
        <color rgb="FFAAAAAA"/>
      </bottom>
      <diagonal/>
    </border>
  </borders>
  <cellStyleXfs count="1">
    <xf numFmtId="0" fontId="0" fillId="0" borderId="0"/>
  </cellStyleXfs>
  <cellXfs count="157">
    <xf numFmtId="0" fontId="0" fillId="0" borderId="0" pivotButton="0" quotePrefix="0" xfId="0"/>
    <xf numFmtId="0" fontId="8" fillId="9" borderId="2" applyAlignment="1" pivotButton="0" quotePrefix="0" xfId="0">
      <alignment horizontal="center" vertical="center"/>
    </xf>
    <xf numFmtId="0" fontId="3" fillId="15" borderId="2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/>
    </xf>
    <xf numFmtId="0" fontId="8" fillId="7" borderId="2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10" fillId="12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0" fontId="11" fillId="16" borderId="2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left" vertical="center"/>
    </xf>
    <xf numFmtId="0" fontId="8" fillId="6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center" vertical="center"/>
    </xf>
    <xf numFmtId="0" fontId="8" fillId="18" borderId="1" applyAlignment="1" pivotButton="0" quotePrefix="0" xfId="0">
      <alignment horizontal="center" vertical="center"/>
    </xf>
    <xf numFmtId="0" fontId="8" fillId="19" borderId="1" applyAlignment="1" pivotButton="0" quotePrefix="0" xfId="0">
      <alignment horizontal="center" vertical="center"/>
    </xf>
    <xf numFmtId="0" fontId="8" fillId="20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8" fillId="8" borderId="11" applyAlignment="1" pivotButton="0" quotePrefix="0" xfId="0">
      <alignment horizontal="center" textRotation="90"/>
    </xf>
    <xf numFmtId="0" fontId="19" fillId="7" borderId="12" applyAlignment="1" pivotButton="0" quotePrefix="0" xfId="0">
      <alignment horizontal="left" vertical="center"/>
    </xf>
    <xf numFmtId="0" fontId="20" fillId="2" borderId="13" applyAlignment="1" pivotButton="0" quotePrefix="0" xfId="0">
      <alignment horizontal="center" vertical="center"/>
    </xf>
    <xf numFmtId="0" fontId="21" fillId="16" borderId="13" applyAlignment="1" pivotButton="0" quotePrefix="0" xfId="0">
      <alignment horizontal="center" vertical="center"/>
    </xf>
    <xf numFmtId="0" fontId="22" fillId="11" borderId="13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14" fillId="4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/>
    </xf>
    <xf numFmtId="0" fontId="14" fillId="12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14" fillId="10" borderId="1" applyAlignment="1" pivotButton="0" quotePrefix="0" xfId="0">
      <alignment horizontal="left" vertical="center" wrapText="1"/>
    </xf>
    <xf numFmtId="0" fontId="14" fillId="16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26" fillId="2" borderId="2" applyAlignment="1" pivotButton="0" quotePrefix="0" xfId="0">
      <alignment horizontal="center" vertical="center"/>
    </xf>
    <xf numFmtId="0" fontId="26" fillId="7" borderId="2" applyAlignment="1" pivotButton="0" quotePrefix="0" xfId="0">
      <alignment horizontal="center" vertical="center" wrapText="1"/>
    </xf>
    <xf numFmtId="0" fontId="26" fillId="5" borderId="2" applyAlignment="1" pivotButton="0" quotePrefix="0" xfId="0">
      <alignment horizontal="center" vertical="center" wrapText="1"/>
    </xf>
    <xf numFmtId="0" fontId="26" fillId="23" borderId="2" applyAlignment="1" pivotButton="0" quotePrefix="0" xfId="0">
      <alignment horizontal="center" vertical="center" wrapText="1"/>
    </xf>
    <xf numFmtId="0" fontId="26" fillId="9" borderId="2" applyAlignment="1" pivotButton="0" quotePrefix="0" xfId="0">
      <alignment horizontal="center" vertical="center" wrapText="1"/>
    </xf>
    <xf numFmtId="0" fontId="26" fillId="8" borderId="2" applyAlignment="1" pivotButton="0" quotePrefix="0" xfId="0">
      <alignment horizontal="center" vertical="center" wrapText="1"/>
    </xf>
    <xf numFmtId="0" fontId="6" fillId="16" borderId="15" applyAlignment="1" pivotButton="0" quotePrefix="0" xfId="0">
      <alignment horizontal="center" vertical="center"/>
    </xf>
    <xf numFmtId="0" fontId="17" fillId="4" borderId="1" applyAlignment="1" pivotButton="0" quotePrefix="0" xfId="0">
      <alignment horizontal="left" vertical="center"/>
    </xf>
    <xf numFmtId="0" fontId="3" fillId="4" borderId="10" applyAlignment="1" pivotButton="0" quotePrefix="0" xfId="0">
      <alignment horizontal="center" vertical="center"/>
    </xf>
    <xf numFmtId="0" fontId="3" fillId="4" borderId="16" applyAlignment="1" pivotButton="0" quotePrefix="0" xfId="0">
      <alignment horizontal="center" vertical="center"/>
    </xf>
    <xf numFmtId="0" fontId="3" fillId="4" borderId="17" applyAlignment="1" pivotButton="0" quotePrefix="0" xfId="0">
      <alignment horizontal="center" vertical="center"/>
    </xf>
    <xf numFmtId="0" fontId="3" fillId="4" borderId="6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17" fillId="11" borderId="1" applyAlignment="1" pivotButton="0" quotePrefix="0" xfId="0">
      <alignment horizontal="left" vertical="center"/>
    </xf>
    <xf numFmtId="0" fontId="3" fillId="11" borderId="10" applyAlignment="1" pivotButton="0" quotePrefix="0" xfId="0">
      <alignment horizontal="center" vertical="center"/>
    </xf>
    <xf numFmtId="0" fontId="3" fillId="11" borderId="16" applyAlignment="1" pivotButton="0" quotePrefix="0" xfId="0">
      <alignment horizontal="center" vertical="center"/>
    </xf>
    <xf numFmtId="0" fontId="3" fillId="11" borderId="17" applyAlignment="1" pivotButton="0" quotePrefix="0" xfId="0">
      <alignment horizontal="center" vertical="center"/>
    </xf>
    <xf numFmtId="0" fontId="3" fillId="11" borderId="6" applyAlignment="1" pivotButton="0" quotePrefix="0" xfId="0">
      <alignment horizontal="center" vertical="center"/>
    </xf>
    <xf numFmtId="0" fontId="26" fillId="5" borderId="8" applyAlignment="1" pivotButton="0" quotePrefix="0" xfId="0">
      <alignment horizontal="center" vertical="center" wrapText="1"/>
    </xf>
    <xf numFmtId="0" fontId="26" fillId="24" borderId="8" applyAlignment="1" pivotButton="0" quotePrefix="0" xfId="0">
      <alignment horizontal="center" vertical="center" wrapText="1"/>
    </xf>
    <xf numFmtId="0" fontId="26" fillId="23" borderId="8" applyAlignment="1" pivotButton="0" quotePrefix="0" xfId="0">
      <alignment horizontal="center" vertical="center" wrapText="1"/>
    </xf>
    <xf numFmtId="0" fontId="14" fillId="25" borderId="1" applyAlignment="1" pivotButton="0" quotePrefix="0" xfId="0">
      <alignment horizontal="left" vertical="center" wrapText="1"/>
    </xf>
    <xf numFmtId="0" fontId="26" fillId="8" borderId="8" applyAlignment="1" pivotButton="0" quotePrefix="0" xfId="0">
      <alignment horizontal="center" vertical="center" wrapText="1"/>
    </xf>
    <xf numFmtId="0" fontId="26" fillId="9" borderId="8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left" vertical="center" wrapText="1"/>
    </xf>
    <xf numFmtId="0" fontId="26" fillId="7" borderId="8" applyAlignment="1" pivotButton="0" quotePrefix="0" xfId="0">
      <alignment horizontal="center" vertical="center" wrapText="1"/>
    </xf>
    <xf numFmtId="0" fontId="26" fillId="2" borderId="8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left" vertical="center" wrapText="1"/>
    </xf>
    <xf numFmtId="0" fontId="26" fillId="14" borderId="8" applyAlignment="1" pivotButton="0" quotePrefix="0" xfId="0">
      <alignment horizontal="center" vertical="center" wrapText="1"/>
    </xf>
    <xf numFmtId="0" fontId="14" fillId="15" borderId="1" applyAlignment="1" pivotButton="0" quotePrefix="0" xfId="0">
      <alignment horizontal="left" vertical="center" wrapText="1"/>
    </xf>
    <xf numFmtId="0" fontId="26" fillId="6" borderId="8" applyAlignment="1" pivotButton="0" quotePrefix="0" xfId="0">
      <alignment horizontal="center" vertical="center" wrapText="1"/>
    </xf>
    <xf numFmtId="0" fontId="26" fillId="26" borderId="8" applyAlignment="1" pivotButton="0" quotePrefix="0" xfId="0">
      <alignment horizontal="center" vertical="center" wrapText="1"/>
    </xf>
    <xf numFmtId="0" fontId="26" fillId="2" borderId="2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0" fillId="16" borderId="5" applyAlignment="1" pivotButton="0" quotePrefix="0" xfId="0">
      <alignment horizontal="left" vertical="center" wrapText="1"/>
    </xf>
    <xf numFmtId="0" fontId="0" fillId="0" borderId="28" pivotButton="0" quotePrefix="0" xfId="0"/>
    <xf numFmtId="0" fontId="4" fillId="6" borderId="2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8" fillId="14" borderId="8" applyAlignment="1" pivotButton="0" quotePrefix="0" xfId="0">
      <alignment horizontal="center" vertical="center" wrapText="1"/>
    </xf>
    <xf numFmtId="0" fontId="0" fillId="0" borderId="20" pivotButton="0" quotePrefix="0" xfId="0"/>
    <xf numFmtId="0" fontId="8" fillId="6" borderId="8" applyAlignment="1" pivotButton="0" quotePrefix="0" xfId="0">
      <alignment horizontal="center" vertical="center" wrapText="1"/>
    </xf>
    <xf numFmtId="0" fontId="3" fillId="15" borderId="2" applyAlignment="1" pivotButton="0" quotePrefix="0" xfId="0">
      <alignment horizontal="left" vertical="center" wrapText="1"/>
    </xf>
    <xf numFmtId="0" fontId="0" fillId="0" borderId="27" pivotButton="0" quotePrefix="0" xfId="0"/>
    <xf numFmtId="0" fontId="8" fillId="14" borderId="2" applyAlignment="1" pivotButton="0" quotePrefix="0" xfId="0">
      <alignment horizontal="center" vertical="center"/>
    </xf>
    <xf numFmtId="0" fontId="3" fillId="11" borderId="2" applyAlignment="1" pivotButton="0" quotePrefix="0" xfId="0">
      <alignment horizontal="left" vertical="center" wrapText="1"/>
    </xf>
    <xf numFmtId="0" fontId="3" fillId="10" borderId="2" applyAlignment="1" pivotButton="0" quotePrefix="0" xfId="0">
      <alignment horizontal="left" vertical="center" wrapText="1"/>
    </xf>
    <xf numFmtId="0" fontId="9" fillId="13" borderId="4" applyAlignment="1" pivotButton="0" quotePrefix="0" xfId="0">
      <alignment horizontal="center" vertical="center" wrapText="1"/>
    </xf>
    <xf numFmtId="0" fontId="0" fillId="0" borderId="25" pivotButton="0" quotePrefix="0" xfId="0"/>
    <xf numFmtId="0" fontId="3" fillId="12" borderId="2" applyAlignment="1" pivotButton="0" quotePrefix="0" xfId="0">
      <alignment horizontal="left" vertical="center" wrapText="1"/>
    </xf>
    <xf numFmtId="0" fontId="3" fillId="13" borderId="6" applyAlignment="1" pivotButton="0" quotePrefix="0" xfId="0">
      <alignment horizontal="left" vertical="center" wrapText="1"/>
    </xf>
    <xf numFmtId="0" fontId="0" fillId="0" borderId="26" pivotButton="0" quotePrefix="0" xfId="0"/>
    <xf numFmtId="0" fontId="4" fillId="5" borderId="2" applyAlignment="1" pivotButton="0" quotePrefix="0" xfId="0">
      <alignment horizontal="center" vertical="center"/>
    </xf>
    <xf numFmtId="0" fontId="14" fillId="11" borderId="9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5" borderId="0" pivotButton="0" quotePrefix="0" xfId="0"/>
    <xf numFmtId="0" fontId="0" fillId="0" borderId="0" pivotButton="0" quotePrefix="0" xfId="0"/>
    <xf numFmtId="0" fontId="7" fillId="4" borderId="3" applyAlignment="1" pivotButton="0" quotePrefix="0" xfId="0">
      <alignment horizontal="left" vertical="center" wrapText="1"/>
    </xf>
    <xf numFmtId="0" fontId="0" fillId="0" borderId="29" pivotButton="0" quotePrefix="0" xfId="0"/>
    <xf numFmtId="0" fontId="8" fillId="9" borderId="2" applyAlignment="1" pivotButton="0" quotePrefix="0" xfId="0">
      <alignment horizontal="center" vertical="center"/>
    </xf>
    <xf numFmtId="0" fontId="13" fillId="15" borderId="7" applyAlignment="1" pivotButton="0" quotePrefix="0" xfId="0">
      <alignment horizontal="left" vertical="center" wrapText="1"/>
    </xf>
    <xf numFmtId="0" fontId="0" fillId="0" borderId="24" pivotButton="0" quotePrefix="0" xfId="0"/>
    <xf numFmtId="0" fontId="5" fillId="5" borderId="0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 wrapText="1"/>
    </xf>
    <xf numFmtId="0" fontId="15" fillId="10" borderId="10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3" pivotButton="0" quotePrefix="0" xfId="0"/>
    <xf numFmtId="0" fontId="1" fillId="2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17" fillId="15" borderId="0" applyAlignment="1" pivotButton="0" quotePrefix="0" xfId="0">
      <alignment horizontal="left" vertical="center"/>
    </xf>
    <xf numFmtId="0" fontId="16" fillId="14" borderId="0" applyAlignment="1" pivotButton="0" quotePrefix="0" xfId="0">
      <alignment horizontal="center" vertical="center"/>
    </xf>
    <xf numFmtId="0" fontId="24" fillId="6" borderId="9" applyAlignment="1" pivotButton="0" quotePrefix="0" xfId="0">
      <alignment horizontal="left" vertical="center"/>
    </xf>
    <xf numFmtId="0" fontId="24" fillId="8" borderId="9" applyAlignment="1" pivotButton="0" quotePrefix="0" xfId="0">
      <alignment horizontal="left" vertical="center"/>
    </xf>
    <xf numFmtId="0" fontId="23" fillId="9" borderId="0" applyAlignment="1" pivotButton="0" quotePrefix="0" xfId="0">
      <alignment horizontal="center" vertical="center"/>
    </xf>
    <xf numFmtId="0" fontId="17" fillId="12" borderId="14" applyAlignment="1" pivotButton="0" quotePrefix="0" xfId="0">
      <alignment horizontal="left" vertical="center" wrapText="1"/>
    </xf>
    <xf numFmtId="0" fontId="17" fillId="3" borderId="14" applyAlignment="1" pivotButton="0" quotePrefix="0" xfId="0">
      <alignment horizontal="left" vertical="center" wrapText="1"/>
    </xf>
    <xf numFmtId="0" fontId="24" fillId="21" borderId="9" applyAlignment="1" pivotButton="0" quotePrefix="0" xfId="0">
      <alignment horizontal="left" vertical="center"/>
    </xf>
    <xf numFmtId="0" fontId="17" fillId="10" borderId="14" applyAlignment="1" pivotButton="0" quotePrefix="0" xfId="0">
      <alignment horizontal="left" vertical="center" wrapText="1"/>
    </xf>
    <xf numFmtId="0" fontId="24" fillId="22" borderId="9" applyAlignment="1" pivotButton="0" quotePrefix="0" xfId="0">
      <alignment horizontal="left" vertical="center"/>
    </xf>
    <xf numFmtId="0" fontId="23" fillId="14" borderId="0" applyAlignment="1" pivotButton="0" quotePrefix="0" xfId="0">
      <alignment horizontal="center" vertical="center"/>
    </xf>
    <xf numFmtId="0" fontId="17" fillId="15" borderId="7" applyAlignment="1" pivotButton="0" quotePrefix="0" xfId="0">
      <alignment horizontal="left" vertical="center" wrapText="1"/>
    </xf>
    <xf numFmtId="0" fontId="17" fillId="15" borderId="7" applyAlignment="1" pivotButton="0" quotePrefix="0" xfId="0">
      <alignment horizontal="left" vertical="center"/>
    </xf>
    <xf numFmtId="0" fontId="16" fillId="7" borderId="0" applyAlignment="1" pivotButton="0" quotePrefix="0" xfId="0">
      <alignment horizontal="center" vertical="center"/>
    </xf>
    <xf numFmtId="0" fontId="25" fillId="10" borderId="0" applyAlignment="1" pivotButton="0" quotePrefix="0" xfId="0">
      <alignment horizontal="left" vertical="center"/>
    </xf>
    <xf numFmtId="0" fontId="27" fillId="10" borderId="10" applyAlignment="1" pivotButton="0" quotePrefix="0" xfId="0">
      <alignment horizontal="left" vertical="center"/>
    </xf>
    <xf numFmtId="0" fontId="0" fillId="0" borderId="30" pivotButton="0" quotePrefix="0" xfId="0"/>
    <xf numFmtId="0" fontId="0" fillId="0" borderId="31" pivotButton="0" quotePrefix="0" xfId="0"/>
    <xf numFmtId="0" fontId="4" fillId="7" borderId="10" applyAlignment="1" pivotButton="0" quotePrefix="0" xfId="0">
      <alignment horizontal="center" vertical="center"/>
    </xf>
    <xf numFmtId="0" fontId="16" fillId="9" borderId="0" applyAlignment="1" pivotButton="0" quotePrefix="0" xfId="0">
      <alignment horizontal="center" vertical="center"/>
    </xf>
    <xf numFmtId="0" fontId="28" fillId="11" borderId="1" applyAlignment="1" pivotButton="0" quotePrefix="0" xfId="0">
      <alignment horizontal="left" vertical="center"/>
    </xf>
    <xf numFmtId="0" fontId="0" fillId="0" borderId="32" pivotButton="0" quotePrefix="0" xfId="0"/>
    <xf numFmtId="0" fontId="29" fillId="16" borderId="15" applyAlignment="1" pivotButton="0" quotePrefix="0" xfId="0">
      <alignment horizontal="center" vertical="center"/>
    </xf>
    <xf numFmtId="0" fontId="0" fillId="0" borderId="33" pivotButton="0" quotePrefix="0" xfId="0"/>
    <xf numFmtId="0" fontId="16" fillId="23" borderId="0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/>
    </xf>
    <xf numFmtId="0" fontId="17" fillId="25" borderId="0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/>
    </xf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0" fillId="0" borderId="0" applyAlignment="1" pivotButton="0" quotePrefix="0" xfId="0">
      <alignment vertical="top" wrapText="1"/>
    </xf>
    <xf numFmtId="0" fontId="33" fillId="0" borderId="27" pivotButton="0" quotePrefix="0" xfId="0"/>
    <xf numFmtId="0" fontId="0" fillId="0" borderId="27" applyAlignment="1" pivotButton="0" quotePrefix="0" xfId="0">
      <alignment vertical="top" wrapText="1"/>
    </xf>
    <xf numFmtId="0" fontId="0" fillId="0" borderId="62" pivotButton="0" quotePrefix="0" xfId="0"/>
    <xf numFmtId="0" fontId="0" fillId="0" borderId="57" pivotButton="0" quotePrefix="0" xfId="0"/>
    <xf numFmtId="0" fontId="0" fillId="0" borderId="52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4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A9D2A"/>
      <rgbColor rgb="FF000080"/>
      <rgbColor rgb="FF448844"/>
      <rgbColor rgb="FF800080"/>
      <rgbColor rgb="FF117A65"/>
      <rgbColor rgb="FFCCCCCC"/>
      <rgbColor rgb="FF888888"/>
      <rgbColor rgb="FF9999FF"/>
      <rgbColor rgb="FFAA4444"/>
      <rgbColor rgb="FFFEF9E7"/>
      <rgbColor rgb="FFD6EAF8"/>
      <rgbColor rgb="FF660066"/>
      <rgbColor rgb="FFFF8080"/>
      <rgbColor rgb="FF2471A3"/>
      <rgbColor rgb="FFE8DAEF"/>
      <rgbColor rgb="FF000080"/>
      <rgbColor rgb="FFFF00FF"/>
      <rgbColor rgb="FFFFFF00"/>
      <rgbColor rgb="FF00FFFF"/>
      <rgbColor rgb="FF800080"/>
      <rgbColor rgb="FF800000"/>
      <rgbColor rgb="FF1E8449"/>
      <rgbColor rgb="FF0000FF"/>
      <rgbColor rgb="FF2E86C1"/>
      <rgbColor rgb="FFEBF5FB"/>
      <rgbColor rgb="FFD5F5E3"/>
      <rgbColor rgb="FFFDEBD0"/>
      <rgbColor rgb="FFDDDDDD"/>
      <rgbColor rgb="FFF2F3F4"/>
      <rgbColor rgb="FFCC99FF"/>
      <rgbColor rgb="FFFADBD8"/>
      <rgbColor rgb="FF2980B9"/>
      <rgbColor rgb="FF4CAF50"/>
      <rgbColor rgb="FF99CC00"/>
      <rgbColor rgb="FFFFCC00"/>
      <rgbColor rgb="FFF39C12"/>
      <rgbColor rgb="FFE67E22"/>
      <rgbColor rgb="FF6C3483"/>
      <rgbColor rgb="FFAAAAAA"/>
      <rgbColor rgb="FF154360"/>
      <rgbColor rgb="FF27AE60"/>
      <rgbColor rgb="FF003300"/>
      <rgbColor rgb="FF1A1A1A"/>
      <rgbColor rgb="FFC0392B"/>
      <rgbColor rgb="FF7D3C98"/>
      <rgbColor rgb="FF1A5276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AAAAAA"/>
    <outlinePr summaryBelow="1" summaryRight="1"/>
    <pageSetUpPr/>
  </sheetPr>
  <dimension ref="B1:E38"/>
  <sheetViews>
    <sheetView showGridLines="0" tabSelected="1" zoomScaleNormal="100" workbookViewId="0">
      <selection activeCell="C17" sqref="C17:C18"/>
    </sheetView>
  </sheetViews>
  <sheetFormatPr baseColWidth="8" defaultColWidth="8.7109375" defaultRowHeight="15"/>
  <cols>
    <col width="3" customWidth="1" style="104" min="1" max="1"/>
    <col width="18" customWidth="1" style="104" min="2" max="2"/>
    <col width="56" customWidth="1" style="104" min="3" max="3"/>
    <col width="3" customWidth="1" style="104" min="4" max="4"/>
  </cols>
  <sheetData>
    <row r="1" ht="31.5" customHeight="1" s="104">
      <c r="B1" s="115" t="inlineStr">
        <is>
          <t>How to Use This TRIZ Navigator</t>
        </is>
      </c>
    </row>
    <row r="2" ht="6" customHeight="1" s="104"/>
    <row r="3" ht="36" customHeight="1" s="104">
      <c r="B3" s="3" t="inlineStr">
        <is>
          <t>TRIZ Navigator tab</t>
        </is>
      </c>
      <c r="C3" s="4" t="inlineStr">
        <is>
          <t>Start here every time you have a new problem. Work top to bottom through the 7 steps.</t>
        </is>
      </c>
    </row>
    <row r="4" ht="6" customHeight="1" s="104"/>
    <row r="5" ht="36" customHeight="1" s="104">
      <c r="B5" s="3" t="inlineStr">
        <is>
          <t>Step 1 — Problem</t>
        </is>
      </c>
      <c r="C5" s="4" t="inlineStr">
        <is>
          <t>Name the system and describe the problem concisely. Write the Ideal Final Result (IFR) — what would the system do if it solved itself?</t>
        </is>
      </c>
    </row>
    <row r="6" ht="6" customHeight="1" s="104"/>
    <row r="7" ht="36" customHeight="1" s="104">
      <c r="B7" s="3" t="inlineStr">
        <is>
          <t>Step 2 — Contradiction map</t>
        </is>
      </c>
      <c r="C7" s="4" t="inlineStr">
        <is>
          <t>Fill the three cells: what gets better, the bad partial solution, what gets worse. Then choose Technical or Physical contradiction from the dropdown.</t>
        </is>
      </c>
    </row>
    <row r="8" ht="6" customHeight="1" s="104"/>
    <row r="9" ht="36" customHeight="1" s="104">
      <c r="B9" s="3" t="inlineStr">
        <is>
          <t>Step 3A — Technical contradiction</t>
        </is>
      </c>
      <c r="C9" s="4" t="inlineStr">
        <is>
          <t>Name the improving and worsening engineering parameters. Then check the TC Matrix tab for principle recommendations, or enter your own principle numbers in Step 4.</t>
        </is>
      </c>
    </row>
    <row r="10" ht="6" customHeight="1" s="104"/>
    <row r="11" ht="36" customHeight="1" s="104">
      <c r="B11" s="3" t="inlineStr">
        <is>
          <t>Step 3B — Physical contradiction</t>
        </is>
      </c>
      <c r="C11" s="4" t="inlineStr">
        <is>
          <t>State the parameter and its two required opposite states. Choose a separation strategy from the dropdown. Then see the Separation Principles tab for the principle list.</t>
        </is>
      </c>
    </row>
    <row r="12" ht="6" customHeight="1" s="104"/>
    <row r="13" ht="36" customHeight="1" s="104">
      <c r="B13" s="3" t="inlineStr">
        <is>
          <t>Step 4 — Principles</t>
        </is>
      </c>
      <c r="C13" s="4" t="inlineStr">
        <is>
          <t>Enter principle numbers in column B. Column C auto-looks up the name; column E auto-looks up the definition from the Appendix. Add your own 'why it applies' note in column D.</t>
        </is>
      </c>
    </row>
    <row r="14" ht="6" customHeight="1" s="104"/>
    <row r="15" ht="36" customHeight="1" s="104">
      <c r="B15" s="3" t="inlineStr">
        <is>
          <t>Step 5 — Solutions map</t>
        </is>
      </c>
      <c r="C15" s="4" t="inlineStr">
        <is>
          <t>Fill the 9-box grid thinking across Past/Present/Future and Sub-system/System/Super-system. Each cell holds one idea or observation — no need to fill all 9.</t>
        </is>
      </c>
    </row>
    <row r="16" ht="6" customHeight="1" s="104"/>
    <row r="17" ht="36" customHeight="1" s="104">
      <c r="B17" s="3" t="inlineStr">
        <is>
          <t>Step 6 — Innovation level</t>
        </is>
      </c>
      <c r="C17" s="4" t="inlineStr">
        <is>
          <t>22. Loss of energy</t>
        </is>
      </c>
      <c r="E17">
        <f>IFERROR(VLOOKUP(B17&amp;"||"&amp;C17, LookupData!$C:$D, 2, FALSE), "Manual lookup needed")</f>
        <v/>
      </c>
    </row>
    <row r="18" ht="6" customHeight="1" s="104"/>
    <row r="19" ht="36" customHeight="1" s="104">
      <c r="B19" s="3" t="n"/>
      <c r="C19" s="4" t="inlineStr">
        <is>
          <t>Document next actions, owner, date, and status. Use the Status dropdown to track progress.</t>
        </is>
      </c>
    </row>
    <row r="20" ht="6" customHeight="1" s="104"/>
    <row r="21" ht="36" customHeight="1" s="104">
      <c r="B21" s="3" t="inlineStr">
        <is>
          <t>TC Matrix tab</t>
        </is>
      </c>
      <c r="C21" s="4" t="inlineStr">
        <is>
          <t>Quick reference for 15 common parameter conflict pairs and their recommended principles. Use as a starting point, not an exhaustive lookup.</t>
        </is>
      </c>
    </row>
    <row r="22" ht="6" customHeight="1" s="104"/>
    <row r="23" ht="36" customHeight="1" s="104">
      <c r="B23" s="3" t="inlineStr">
        <is>
          <t>Separation Principles tab</t>
        </is>
      </c>
      <c r="C23" s="4" t="inlineStr">
        <is>
          <t>Full list of inventive principles grouped under each of the 4 separation strategies. Select the strategy matching your Step 3B dropdown choice.</t>
        </is>
      </c>
    </row>
    <row r="24" ht="6" customHeight="1" s="104"/>
    <row r="25" ht="36" customHeight="1" s="104">
      <c r="B25" s="3" t="inlineStr">
        <is>
          <t>Appendix tab</t>
        </is>
      </c>
      <c r="C25" s="4" t="inlineStr">
        <is>
          <t>All 40 TRIZ inventive principles with full definition, an engineering example, and an everyday cross-industry example. Auto-linked from Step 4 via VLOOKUP.</t>
        </is>
      </c>
    </row>
    <row r="26" ht="6" customHeight="1" s="104"/>
    <row r="27" ht="36" customHeight="1" s="104">
      <c r="B27" s="3" t="inlineStr">
        <is>
          <t>Repeating the tool</t>
        </is>
      </c>
      <c r="C27" s="4" t="inlineStr">
        <is>
          <t>To start a new problem: copy the TRIZ Navigator sheet (right-click tab → Move or Copy → tick 'Create a copy'). The copy starts blank and fully functional.</t>
        </is>
      </c>
    </row>
    <row r="29" ht="9.75" customHeight="1" s="104"/>
    <row r="30" ht="21.75" customHeight="1" s="104">
      <c r="B30" s="116" t="inlineStr">
        <is>
          <t>New in v2 — four enhancements added</t>
        </is>
      </c>
    </row>
    <row r="31" ht="6" customHeight="1" s="104"/>
    <row r="32" ht="42" customHeight="1" s="104">
      <c r="B32" s="3" t="inlineStr">
        <is>
          <t>Altshuller Matrix</t>
        </is>
      </c>
      <c r="C32" s="4" t="inlineStr">
        <is>
          <t>The full 39×39 matrix. Row = parameter to improve (green); Column = parameter that worsens (red). Teal cell = principle numbers recommended. Grey = no standard mapping, use physical contradiction path. Freeze pane lets you scroll while keeping headers visible.</t>
        </is>
      </c>
    </row>
    <row r="33" ht="6" customHeight="1" s="104"/>
    <row r="34" ht="42" customHeight="1" s="104">
      <c r="B34" s="3" t="inlineStr">
        <is>
          <t>Principle Scoring</t>
        </is>
      </c>
      <c r="C34" s="4" t="inlineStr">
        <is>
          <t>Enter shortlisted principle numbers in column B — names auto-fill. Score Feasibility, Impact, Speed, and Cost (1–5 each). Priority Score is auto-weighted (max 20). Best-scoring principle shown at the bottom. Add rationale notes in column I.</t>
        </is>
      </c>
    </row>
    <row r="35" ht="6" customHeight="1" s="104"/>
    <row r="36" ht="42" customHeight="1" s="104">
      <c r="B36" s="3" t="inlineStr">
        <is>
          <t>Case Study Library</t>
        </is>
      </c>
      <c r="C36" s="4" t="inlineStr">
        <is>
          <t>12 real-world TRIZ examples across semiconductor, aerospace, automotive, medical devices, software, and more. Study the contradiction type and principles used, then draw analogies to your own problem.</t>
        </is>
      </c>
    </row>
    <row r="37" ht="6" customHeight="1" s="104"/>
    <row r="38" ht="42" customHeight="1" s="104">
      <c r="B38" s="3" t="inlineStr">
        <is>
          <t>Problem History Log</t>
        </is>
      </c>
      <c r="C38" s="4" t="inlineStr">
        <is>
          <t>Log every TRIZ session: system, problem, contradiction path, principles, innovation level, solution, and status. Row 4 is pre-filled with the HBM stack session as an example. Session statistics at the bottom auto-update as you add rows.</t>
        </is>
      </c>
    </row>
  </sheetData>
  <mergeCells count="2">
    <mergeCell ref="B1:C1"/>
    <mergeCell ref="B30:C30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1A5276"/>
    <outlinePr summaryBelow="1" summaryRight="1"/>
    <pageSetUpPr/>
  </sheetPr>
  <dimension ref="A2:E68"/>
  <sheetViews>
    <sheetView showGridLine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17" sqref="C17:C18"/>
    </sheetView>
  </sheetViews>
  <sheetFormatPr baseColWidth="8" defaultColWidth="8.7109375" defaultRowHeight="15"/>
  <cols>
    <col width="3" customWidth="1" style="104" min="1" max="1"/>
    <col width="26" customWidth="1" style="104" min="2" max="2"/>
    <col width="28" customWidth="1" style="104" min="3" max="5"/>
    <col width="3" customWidth="1" style="104" min="6" max="6"/>
  </cols>
  <sheetData>
    <row r="1" ht="6" customHeight="1" s="104"/>
    <row r="2" ht="18" customHeight="1" s="104">
      <c r="B2" s="110" t="inlineStr">
        <is>
          <t>TRIZ Creative Problem Solving Navigator</t>
        </is>
      </c>
    </row>
    <row r="3" ht="6" customHeight="1" s="104">
      <c r="B3" s="103" t="n"/>
    </row>
    <row r="4" ht="18" customHeight="1" s="104">
      <c r="B4" s="84" t="inlineStr">
        <is>
          <t>STEP 1 — Define Your Problem</t>
        </is>
      </c>
      <c r="C4" s="85" t="n"/>
      <c r="D4" s="85" t="n"/>
      <c r="E4" s="86" t="n"/>
    </row>
    <row r="5" ht="36" customHeight="1" s="104">
      <c r="B5" s="5" t="inlineStr">
        <is>
          <t>System / Product name</t>
        </is>
      </c>
      <c r="C5" s="105" t="n"/>
      <c r="D5" s="106" t="n"/>
      <c r="E5" s="106" t="n"/>
    </row>
    <row r="6" ht="36" customHeight="1" s="104">
      <c r="B6" s="5" t="inlineStr">
        <is>
          <t>Problem description</t>
        </is>
      </c>
      <c r="C6" s="105" t="n"/>
      <c r="D6" s="106" t="n"/>
      <c r="E6" s="106" t="n"/>
    </row>
    <row r="7" ht="36" customHeight="1" s="104">
      <c r="B7" s="5" t="inlineStr">
        <is>
          <t>Ideal Final Result (IFR)</t>
        </is>
      </c>
      <c r="C7" s="105" t="n"/>
      <c r="D7" s="106" t="n"/>
      <c r="E7" s="106" t="n"/>
    </row>
    <row r="8" ht="6" customHeight="1" s="104"/>
    <row r="9" ht="18" customHeight="1" s="104">
      <c r="B9" s="84" t="inlineStr">
        <is>
          <t>STEP 2 — Map Your Contradiction</t>
        </is>
      </c>
      <c r="C9" s="85" t="n"/>
      <c r="D9" s="85" t="n"/>
      <c r="E9" s="86" t="n"/>
    </row>
    <row r="10" ht="18" customHeight="1" s="104">
      <c r="B10" s="6" t="inlineStr">
        <is>
          <t>What gets BETTER</t>
        </is>
      </c>
      <c r="C10" s="142" t="inlineStr">
        <is>
          <t>Bad solution / tradeoff</t>
        </is>
      </c>
      <c r="D10" s="8" t="inlineStr">
        <is>
          <t>What gets WORSE</t>
        </is>
      </c>
      <c r="E10" s="107" t="inlineStr">
        <is>
          <t>Contradiction type</t>
        </is>
      </c>
    </row>
    <row r="11" ht="30" customHeight="1" s="104">
      <c r="B11" s="94" t="n"/>
      <c r="C11" s="93" t="n"/>
      <c r="D11" s="97" t="n"/>
      <c r="E11" s="95" t="inlineStr">
        <is>
          <t>Technical Contradiction</t>
        </is>
      </c>
    </row>
    <row r="12" ht="30" customHeight="1" s="104">
      <c r="B12" s="91" t="n"/>
      <c r="C12" s="91" t="n"/>
      <c r="D12" s="91" t="n"/>
      <c r="E12" s="96" t="n"/>
    </row>
    <row r="13" ht="18" customHeight="1" s="104"/>
    <row r="14" ht="6" customHeight="1" s="104"/>
    <row r="15" ht="18" customHeight="1" s="104">
      <c r="B15" s="92" t="inlineStr">
        <is>
          <t>STEP 3A — Technical Contradiction  (use when two parameters conflict)</t>
        </is>
      </c>
      <c r="C15" s="85" t="n"/>
      <c r="D15" s="85" t="n"/>
      <c r="E15" s="86" t="n"/>
    </row>
    <row r="16" ht="18" customHeight="1" s="104">
      <c r="B16" s="9" t="inlineStr">
        <is>
          <t>Parameter to IMPROVE</t>
        </is>
      </c>
      <c r="C16" s="10" t="inlineStr">
        <is>
          <t>Parameter that WORSENS</t>
        </is>
      </c>
      <c r="D16" s="11" t="inlineStr">
        <is>
          <t>Engineering domain / context</t>
        </is>
      </c>
      <c r="E16" s="12" t="inlineStr">
        <is>
          <t>→ Suggested Principles</t>
        </is>
      </c>
    </row>
    <row r="17" ht="30" customHeight="1" s="104">
      <c r="B17" s="90" t="inlineStr">
        <is>
          <t>1. Weight of moving object</t>
        </is>
      </c>
      <c r="C17" s="97" t="inlineStr">
        <is>
          <t>28. Measurement accuracy</t>
        </is>
      </c>
      <c r="D17" s="93" t="n"/>
      <c r="E17" s="82">
        <f>IFERROR(VLOOKUP(B17&amp;"||"&amp;C17, LookupData!$C:$D, 2, FALSE), "Manual lookup needed")</f>
        <v/>
      </c>
    </row>
    <row r="18" ht="30" customHeight="1" s="104"/>
    <row r="19" ht="100" customHeight="1" s="104">
      <c r="A19" s="146" t="inlineStr">
        <is>
          <t>Principle Slot 1:</t>
        </is>
      </c>
      <c r="B19" s="145" t="inlineStr">
        <is>
          <t>DETAILED PRINCIPLE BREAKDOWN (Auto-populated):</t>
        </is>
      </c>
      <c r="C19" s="148">
        <f>IF(TRIM(MID(SUBSTITUTE(SUBSTITUTE(TRIM($E$17),","," ")," ",REPT(" ",100)),(1-1)*100+1,100))&lt;&gt;"", IFERROR(VLOOKUP(VALUE(TRIM(MID(SUBSTITUTE(SUBSTITUTE(TRIM($E$17),","," ")," ",REPT(" ",100)),(1-1)*100+1,100))), DetailedPrinciples!A:C, 3, FALSE), ""), "")</f>
        <v/>
      </c>
    </row>
    <row r="20" ht="100" customHeight="1" s="104">
      <c r="A20" s="146" t="inlineStr">
        <is>
          <t>Principle Slot 2:</t>
        </is>
      </c>
      <c r="B20" s="147">
        <f>IF(TRIM(MID(SUBSTITUTE(SUBSTITUTE(TRIM($E$17),","," ")," ",REPT(" ",100)),(1-1)*100+1,100))&lt;&gt;"", "P" &amp; TRIM(MID(SUBSTITUTE(SUBSTITUTE(TRIM($E$17),","," ")," ",REPT(" ",100)),(1-1)*100+1,100)) &amp; ": " &amp; IFERROR(VLOOKUP(VALUE(TRIM(MID(SUBSTITUTE(SUBSTITUTE(TRIM($E$17),","," ")," ",REPT(" ",100)),(1-1)*100+1,100))), DetailedPrinciples!A:C, 2, FALSE), ""), "")</f>
        <v/>
      </c>
      <c r="C20" s="148">
        <f>IF(TRIM(MID(SUBSTITUTE(SUBSTITUTE(TRIM($E$17),","," ")," ",REPT(" ",100)),(1-1)*100+1,100))&lt;&gt;"", IFERROR(VLOOKUP(VALUE(TRIM(MID(SUBSTITUTE(SUBSTITUTE(TRIM($E$17),","," ")," ",REPT(" ",100)),(1-1)*100+1,100))), DetailedPrinciples!A:C, 3, FALSE), ""), "")</f>
        <v/>
      </c>
    </row>
    <row r="21" ht="100" customHeight="1" s="104">
      <c r="A21" s="146" t="inlineStr">
        <is>
          <t>Principle Slot 3:</t>
        </is>
      </c>
      <c r="B21" s="147">
        <f>IF(TRIM(MID(SUBSTITUTE(SUBSTITUTE(TRIM($E$17),","," ")," ",REPT(" ",100)),(2-1)*100+1,100))&lt;&gt;"", "P" &amp; TRIM(MID(SUBSTITUTE(SUBSTITUTE(TRIM($E$17),","," ")," ",REPT(" ",100)),(2-1)*100+1,100)) &amp; ": " &amp; IFERROR(VLOOKUP(VALUE(TRIM(MID(SUBSTITUTE(SUBSTITUTE(TRIM($E$17),","," ")," ",REPT(" ",100)),(2-1)*100+1,100))), DetailedPrinciples!A:C, 2, FALSE), ""), "")</f>
        <v/>
      </c>
      <c r="C21" s="148">
        <f>IF(TRIM(MID(SUBSTITUTE(SUBSTITUTE(TRIM($E$17),","," ")," ",REPT(" ",100)),(2-1)*100+1,100))&lt;&gt;"", IFERROR(VLOOKUP(VALUE(TRIM(MID(SUBSTITUTE(SUBSTITUTE(TRIM($E$17),","," ")," ",REPT(" ",100)),(2-1)*100+1,100))), DetailedPrinciples!A:C, 3, FALSE), ""), "")</f>
        <v/>
      </c>
    </row>
    <row r="22" ht="100" customHeight="1" s="104">
      <c r="A22" s="146" t="inlineStr">
        <is>
          <t>Principle Slot 4:</t>
        </is>
      </c>
      <c r="B22" s="147">
        <f>IF(TRIM(MID(SUBSTITUTE(SUBSTITUTE(TRIM($E$17),","," ")," ",REPT(" ",100)),(3-1)*100+1,100))&lt;&gt;"", "P" &amp; TRIM(MID(SUBSTITUTE(SUBSTITUTE(TRIM($E$17),","," ")," ",REPT(" ",100)),(3-1)*100+1,100)) &amp; ": " &amp; IFERROR(VLOOKUP(VALUE(TRIM(MID(SUBSTITUTE(SUBSTITUTE(TRIM($E$17),","," ")," ",REPT(" ",100)),(3-1)*100+1,100))), DetailedPrinciples!A:C, 2, FALSE), ""), "")</f>
        <v/>
      </c>
      <c r="C22" s="148">
        <f>IF(TRIM(MID(SUBSTITUTE(SUBSTITUTE(TRIM($E$17),","," ")," ",REPT(" ",100)),(3-1)*100+1,100))&lt;&gt;"", IFERROR(VLOOKUP(VALUE(TRIM(MID(SUBSTITUTE(SUBSTITUTE(TRIM($E$17),","," ")," ",REPT(" ",100)),(3-1)*100+1,100))), DetailedPrinciples!A:C, 3, FALSE), ""), "")</f>
        <v/>
      </c>
    </row>
    <row r="23" ht="100" customHeight="1" s="104">
      <c r="B23" s="149">
        <f>IF(TRIM(MID(SUBSTITUTE(SUBSTITUTE(TRIM($E$17),","," ")," ",REPT(" ",100)),(4-1)*100+1,100))&lt;&gt;"", "P" &amp; TRIM(MID(SUBSTITUTE(SUBSTITUTE(TRIM($E$17),","," ")," ",REPT(" ",100)),(4-1)*100+1,100)) &amp; ": " &amp; IFERROR(VLOOKUP(VALUE(TRIM(MID(SUBSTITUTE(SUBSTITUTE(TRIM($E$17),","," ")," ",REPT(" ",100)),(4-1)*100+1,100))), DetailedPrinciples!A:C, 2, FALSE), ""), "")</f>
        <v/>
      </c>
      <c r="C23" s="150">
        <f>IF(TRIM(MID(SUBSTITUTE(SUBSTITUTE(TRIM($E$17),","," ")," ",REPT(" ",100)),(4-1)*100+1,100))&lt;&gt;"", IFERROR(VLOOKUP(VALUE(TRIM(MID(SUBSTITUTE(SUBSTITUTE(TRIM($E$17),","," ")," ",REPT(" ",100)),(4-1)*100+1,100))), DetailedPrinciples!A:C, 3, FALSE), ""), "")</f>
        <v/>
      </c>
      <c r="D23" s="151" t="n"/>
      <c r="E23" s="152" t="n"/>
    </row>
    <row r="24" ht="30" customHeight="1" s="104"/>
    <row r="25" ht="18" customHeight="1" s="104"/>
    <row r="26" ht="18" customHeight="1" s="104">
      <c r="B26" s="107" t="inlineStr">
        <is>
          <t>STEP 3B — Physical Contradiction  (use when one parameter must be opposite states)</t>
        </is>
      </c>
      <c r="C26" s="85" t="n"/>
      <c r="D26" s="85" t="n"/>
      <c r="E26" s="86" t="n"/>
    </row>
    <row r="27" ht="18" customHeight="1" s="104">
      <c r="B27" s="13" t="inlineStr">
        <is>
          <t>The parameter / property</t>
        </is>
      </c>
      <c r="C27" s="13" t="inlineStr">
        <is>
          <t>Must be (State A)</t>
        </is>
      </c>
      <c r="D27" s="13" t="inlineStr">
        <is>
          <t>AND also be (State B)</t>
        </is>
      </c>
      <c r="E27" s="107" t="inlineStr">
        <is>
          <t>Separation strategy</t>
        </is>
      </c>
    </row>
    <row r="28" ht="6" customHeight="1" s="104">
      <c r="B28" s="98" t="n"/>
      <c r="C28" s="98" t="n"/>
      <c r="D28" s="98" t="n"/>
      <c r="E28" s="95" t="inlineStr">
        <is>
          <t>Separate in Time</t>
        </is>
      </c>
    </row>
    <row r="29" ht="18" customHeight="1" s="104">
      <c r="B29" s="99" t="n"/>
    </row>
    <row r="30" ht="18" customHeight="1" s="104"/>
    <row r="31" ht="21.75" customHeight="1" s="104"/>
    <row r="32" ht="21.75" customHeight="1" s="104"/>
    <row r="33" ht="21.75" customHeight="1" s="104"/>
    <row r="34" ht="21.75" customHeight="1" s="104">
      <c r="B34" s="100" t="inlineStr">
        <is>
          <t>STEP 4 — Distilled TRIZ Inventive Principles</t>
        </is>
      </c>
      <c r="C34" s="85" t="n"/>
      <c r="D34" s="85" t="n"/>
      <c r="E34" s="86" t="n"/>
    </row>
    <row r="35" ht="21.75" customHeight="1" s="104">
      <c r="B35" s="12" t="inlineStr">
        <is>
          <t>Principle #</t>
        </is>
      </c>
      <c r="C35" s="12" t="inlineStr">
        <is>
          <t>Principle name</t>
        </is>
      </c>
      <c r="D35" s="12" t="inlineStr">
        <is>
          <t>Why it applies to your problem</t>
        </is>
      </c>
      <c r="E35" s="14" t="inlineStr">
        <is>
          <t>See Appendix tab for full definition &amp; examples</t>
        </is>
      </c>
    </row>
    <row r="36" ht="21.75" customHeight="1" s="104">
      <c r="B36" s="15" t="n"/>
      <c r="C36" s="16" t="n"/>
      <c r="D36" s="17" t="n"/>
      <c r="E36" s="18">
        <f>IFERROR(VLOOKUP(B31,Appendix!$A:$B,2,0),"")</f>
        <v/>
      </c>
    </row>
    <row r="37" ht="21.75" customHeight="1" s="104">
      <c r="B37" s="15" t="n"/>
      <c r="C37" s="16" t="n"/>
      <c r="D37" s="17" t="n"/>
      <c r="E37" s="18">
        <f>IFERROR(VLOOKUP(B32,Appendix!$A:$B,2,0),"")</f>
        <v/>
      </c>
    </row>
    <row r="38" ht="21.75" customHeight="1" s="104">
      <c r="B38" s="15" t="n"/>
      <c r="C38" s="16" t="n"/>
      <c r="D38" s="17" t="n"/>
      <c r="E38" s="18">
        <f>IFERROR(VLOOKUP(B33,Appendix!$A:$B,2,0),"")</f>
        <v/>
      </c>
    </row>
    <row r="39" ht="21.75" customHeight="1" s="104">
      <c r="B39" s="15" t="n"/>
      <c r="C39" s="102" t="n"/>
      <c r="D39" s="102" t="n"/>
      <c r="E39" s="138" t="n"/>
    </row>
    <row r="40" ht="18" customHeight="1" s="104">
      <c r="B40" s="15" t="n"/>
      <c r="C40" s="16" t="n"/>
      <c r="D40" s="17" t="n"/>
      <c r="E40" s="18">
        <f>IFERROR(VLOOKUP(B35,Appendix!$A:$B,2,0),"")</f>
        <v/>
      </c>
    </row>
    <row r="41" ht="18" customHeight="1" s="104">
      <c r="B41" s="15" t="n"/>
      <c r="C41" s="102" t="n"/>
      <c r="D41" s="102" t="n"/>
      <c r="E41" s="138" t="n"/>
    </row>
    <row r="42" ht="18" customHeight="1" s="104">
      <c r="B42" s="15" t="n"/>
      <c r="C42" s="16" t="n"/>
      <c r="D42" s="17" t="n"/>
      <c r="E42" s="18">
        <f>IFERROR(VLOOKUP(B37,Appendix!$A:$B,2,0),"")</f>
        <v/>
      </c>
    </row>
    <row r="43" ht="27.75" customHeight="1" s="104">
      <c r="B43" s="15" t="n"/>
      <c r="C43" s="16" t="n"/>
      <c r="D43" s="17" t="n"/>
      <c r="E43" s="18">
        <f>IFERROR(VLOOKUP(B38,Appendix!$A:$B,2,0),"")</f>
        <v/>
      </c>
    </row>
    <row r="44" ht="27.75" customHeight="1" s="104">
      <c r="B44" s="153" t="n"/>
      <c r="C44" s="109" t="n"/>
      <c r="D44" s="109" t="n"/>
      <c r="E44" s="109" t="n"/>
    </row>
    <row r="45" ht="27.75" customHeight="1" s="104">
      <c r="B45" s="152" t="n"/>
    </row>
    <row r="46" ht="27.75" customHeight="1" s="104">
      <c r="B46" s="152" t="n"/>
      <c r="C46" s="85" t="n"/>
      <c r="D46" s="85" t="n"/>
      <c r="E46" s="86" t="n"/>
    </row>
    <row r="47" ht="27.75" customHeight="1" s="104">
      <c r="B47" s="142" t="n"/>
      <c r="C47" s="142" t="inlineStr">
        <is>
          <t>PAST</t>
        </is>
      </c>
      <c r="D47" s="19" t="inlineStr">
        <is>
          <t>PRESENT</t>
        </is>
      </c>
      <c r="E47" s="20" t="inlineStr">
        <is>
          <t>FUTURE</t>
        </is>
      </c>
    </row>
    <row r="48" ht="27.75" customHeight="1" s="104">
      <c r="B48" s="91" t="n"/>
      <c r="C48" s="21" t="n"/>
      <c r="D48" s="21" t="n"/>
      <c r="E48" s="21" t="n"/>
    </row>
    <row r="49" ht="18" customHeight="1" s="104">
      <c r="B49" s="88" t="n"/>
      <c r="C49" s="21" t="n"/>
      <c r="D49" s="21" t="n"/>
      <c r="E49" s="21" t="n"/>
    </row>
    <row r="50" ht="18" customHeight="1" s="104">
      <c r="B50" s="111" t="inlineStr">
        <is>
          <t>SYSTEM</t>
        </is>
      </c>
      <c r="C50" s="154" t="n"/>
      <c r="D50" s="154" t="n"/>
      <c r="E50" s="155" t="n"/>
    </row>
    <row r="51" ht="19.5" customHeight="1" s="104">
      <c r="B51" s="88" t="n"/>
      <c r="C51" s="22" t="n"/>
      <c r="D51" s="86" t="n"/>
      <c r="E51" s="22" t="n"/>
    </row>
    <row r="52" ht="19.5" customHeight="1" s="104">
      <c r="B52" s="87" t="inlineStr">
        <is>
          <t>SUB-SYSTEM</t>
        </is>
      </c>
      <c r="C52" s="90" t="n"/>
      <c r="D52" s="86" t="n"/>
      <c r="E52" s="156" t="n"/>
    </row>
    <row r="53" ht="19.5" customHeight="1" s="104">
      <c r="B53" s="88" t="n"/>
      <c r="C53" s="90" t="n"/>
      <c r="D53" s="86" t="n"/>
      <c r="E53" s="156" t="n"/>
    </row>
    <row r="54" ht="19.5" customHeight="1" s="104">
      <c r="E54" s="156" t="n"/>
    </row>
    <row r="55" ht="19.5" customHeight="1" s="104">
      <c r="B55" s="84" t="inlineStr">
        <is>
          <t>STEP 6 — Target Innovation Level</t>
        </is>
      </c>
      <c r="C55" s="85" t="n"/>
      <c r="D55" s="85" t="n"/>
      <c r="E55" s="91" t="n"/>
    </row>
    <row r="56" ht="18" customHeight="1" s="104">
      <c r="B56" s="23" t="inlineStr">
        <is>
          <t>Level 1</t>
        </is>
      </c>
      <c r="C56" s="101" t="inlineStr">
        <is>
          <t>Apparent (32%) — simple improvements using company knowledge</t>
        </is>
      </c>
      <c r="D56" s="102" t="n"/>
      <c r="E56" s="112" t="inlineStr">
        <is>
          <t>Level 2</t>
        </is>
      </c>
    </row>
    <row r="57" ht="18" customHeight="1" s="104">
      <c r="B57" s="24" t="inlineStr">
        <is>
          <t>Level 2</t>
        </is>
      </c>
      <c r="C57" s="102" t="n"/>
      <c r="D57" s="102" t="n"/>
      <c r="E57" s="138" t="n"/>
    </row>
    <row r="58" ht="18" customHeight="1" s="104">
      <c r="B58" s="25" t="inlineStr">
        <is>
          <t>Level 3</t>
        </is>
      </c>
      <c r="C58" s="101" t="inlineStr">
        <is>
          <t>Fundamental change (18%) — radical innovation from other fields</t>
        </is>
      </c>
      <c r="D58" s="102" t="n"/>
      <c r="E58" s="113" t="n"/>
    </row>
    <row r="59" ht="21.75" customHeight="1" s="104">
      <c r="B59" s="26" t="inlineStr">
        <is>
          <t>Level 4</t>
        </is>
      </c>
      <c r="C59" s="101" t="inlineStr">
        <is>
          <t>New application (&lt;4%) — new combination of technologies</t>
        </is>
      </c>
      <c r="D59" s="102" t="n"/>
      <c r="E59" s="113" t="n"/>
    </row>
    <row r="60" ht="21.75" customHeight="1" s="104">
      <c r="B60" s="27" t="inlineStr">
        <is>
          <t>Level 5</t>
        </is>
      </c>
      <c r="C60" s="101" t="inlineStr">
        <is>
          <t>Breakthrough (&lt;1%) — new invention based on new science</t>
        </is>
      </c>
      <c r="D60" s="102" t="n"/>
      <c r="E60" s="114" t="n"/>
    </row>
    <row r="61" ht="21.75" customHeight="1" s="104"/>
    <row r="62" ht="21.75" customHeight="1" s="104">
      <c r="B62" s="100" t="inlineStr">
        <is>
          <t>STEP 7 — Next Actions &amp; Owner</t>
        </is>
      </c>
      <c r="C62" s="85" t="n"/>
      <c r="D62" s="85" t="n"/>
      <c r="E62" s="86" t="n"/>
    </row>
    <row r="63" ht="21.75" customHeight="1" s="104">
      <c r="B63" s="12" t="inlineStr">
        <is>
          <t>Action item</t>
        </is>
      </c>
      <c r="C63" s="12" t="inlineStr">
        <is>
          <t>Owner</t>
        </is>
      </c>
      <c r="D63" s="12" t="inlineStr">
        <is>
          <t>Target date</t>
        </is>
      </c>
      <c r="E63" s="12" t="inlineStr">
        <is>
          <t>Status</t>
        </is>
      </c>
    </row>
    <row r="64" ht="18" customHeight="1" s="104">
      <c r="B64" s="4" t="n"/>
      <c r="C64" s="16" t="n"/>
      <c r="D64" s="15" t="n"/>
      <c r="E64" s="28" t="n"/>
    </row>
    <row r="65" ht="18" customHeight="1" s="104">
      <c r="B65" s="4" t="n"/>
      <c r="C65" s="16" t="n"/>
      <c r="D65" s="15" t="n"/>
      <c r="E65" s="28" t="n"/>
    </row>
    <row r="66" ht="18" customHeight="1" s="104">
      <c r="B66" s="4" t="n"/>
      <c r="C66" s="16" t="n"/>
      <c r="D66" s="15" t="n"/>
      <c r="E66" s="28" t="n"/>
    </row>
    <row r="67" ht="18" customHeight="1" s="104">
      <c r="B67" s="4" t="n"/>
      <c r="C67" s="16" t="n"/>
      <c r="D67" s="15" t="n"/>
      <c r="E67" s="28" t="n"/>
    </row>
    <row r="68" ht="6" customHeight="1" s="104">
      <c r="B68" s="4" t="n"/>
      <c r="C68" s="16" t="n"/>
      <c r="D68" s="15" t="n"/>
      <c r="E68" s="28" t="n"/>
    </row>
    <row r="69" ht="18" customHeight="1" s="104"/>
    <row r="70" ht="18" customHeight="1" s="104"/>
    <row r="71" ht="18" customHeight="1" s="104"/>
    <row r="72" ht="18" customHeight="1" s="104"/>
    <row r="73" ht="18" customHeight="1" s="104"/>
    <row r="74" ht="18" customHeight="1" s="104"/>
    <row r="75" ht="18" customHeight="1" s="104"/>
    <row r="76" ht="18" customHeight="1" s="104"/>
    <row r="77" ht="18" customHeight="1" s="104"/>
    <row r="78" ht="18" customHeight="1" s="104"/>
    <row r="79" ht="18" customHeight="1" s="104"/>
  </sheetData>
  <mergeCells count="29">
    <mergeCell ref="B9:E9"/>
    <mergeCell ref="B47:B48"/>
    <mergeCell ref="B43:B44"/>
    <mergeCell ref="C22:E22"/>
    <mergeCell ref="B15:E15"/>
    <mergeCell ref="B11:B12"/>
    <mergeCell ref="D11:D12"/>
    <mergeCell ref="C21:E21"/>
    <mergeCell ref="B41:E41"/>
    <mergeCell ref="B50:E50"/>
    <mergeCell ref="C54:D54"/>
    <mergeCell ref="B4:E4"/>
    <mergeCell ref="C23:E23"/>
    <mergeCell ref="C55:D55"/>
    <mergeCell ref="B3:E3"/>
    <mergeCell ref="C11:C12"/>
    <mergeCell ref="E11:E12"/>
    <mergeCell ref="C7:E7"/>
    <mergeCell ref="C51:D51"/>
    <mergeCell ref="B39:E39"/>
    <mergeCell ref="B2:E2"/>
    <mergeCell ref="C52:D52"/>
    <mergeCell ref="C6:E6"/>
    <mergeCell ref="B45:B46"/>
    <mergeCell ref="B57:E57"/>
    <mergeCell ref="C5:E5"/>
    <mergeCell ref="E51:E55"/>
    <mergeCell ref="C53:D53"/>
    <mergeCell ref="C20:E20"/>
  </mergeCells>
  <dataValidations count="4">
    <dataValidation sqref="E11" showDropDown="0" showInputMessage="0" showErrorMessage="0" allowBlank="1" type="list">
      <formula1>"Technical Contradiction,Physical Contradiction"</formula1>
      <formula2>0</formula2>
    </dataValidation>
    <dataValidation sqref="E23" showDropDown="0" showInputMessage="0" showErrorMessage="0" allowBlank="1" type="list">
      <formula1>"Separate in Time,Separate in Space,Separate on Condition,Separate by System"</formula1>
      <formula2>0</formula2>
    </dataValidation>
    <dataValidation sqref="E51" showDropDown="0" showInputMessage="0" showErrorMessage="0" allowBlank="1" type="list">
      <formula1>"Level 1,Level 2,Level 3,Level 4,Level 5"</formula1>
      <formula2>0</formula2>
    </dataValidation>
    <dataValidation sqref="E59:E63" showDropDown="0" showInputMessage="0" showErrorMessage="0" allowBlank="1" type="list">
      <formula1>"Not started,In progress,Complete,Blocked"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F39C12"/>
    <outlinePr summaryBelow="1" summaryRight="1"/>
    <pageSetUpPr/>
  </sheetPr>
  <dimension ref="B1:AO42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1" sqref="A1"/>
    </sheetView>
  </sheetViews>
  <sheetFormatPr baseColWidth="8" defaultColWidth="8.7109375" defaultRowHeight="15"/>
  <cols>
    <col width="3" customWidth="1" style="104" min="1" max="1"/>
    <col width="22" customWidth="1" style="104" min="2" max="2"/>
    <col width="8" customWidth="1" style="104" min="3" max="41"/>
  </cols>
  <sheetData>
    <row r="1" ht="27.75" customHeight="1" s="104">
      <c r="B1" s="118" t="inlineStr">
        <is>
          <t>Altshuller Contradiction Matrix — Full 39×39 (Oxford Creativity reference)</t>
        </is>
      </c>
    </row>
    <row r="2" ht="15.75" customHeight="1" s="104">
      <c r="B2" s="117" t="inlineStr">
        <is>
          <t>ROW = Parameter to IMPROVE (green)   |   COLUMN = Parameter that WORSENS (red)   |   Teal cell = recommended TRIZ principles   |   Grey = no standard recommendation (use physical contradiction path)</t>
        </is>
      </c>
    </row>
    <row r="3" ht="99.75" customHeight="1" s="104">
      <c r="C3" s="29" t="inlineStr">
        <is>
          <t>1. Weight of moving object</t>
        </is>
      </c>
      <c r="D3" s="29" t="inlineStr">
        <is>
          <t>2. Weight of stationary object</t>
        </is>
      </c>
      <c r="E3" s="29" t="inlineStr">
        <is>
          <t>3. Length of moving object</t>
        </is>
      </c>
      <c r="F3" s="29" t="inlineStr">
        <is>
          <t>4. Length of stationary object</t>
        </is>
      </c>
      <c r="G3" s="29" t="inlineStr">
        <is>
          <t>5. Area of moving object</t>
        </is>
      </c>
      <c r="H3" s="29" t="inlineStr">
        <is>
          <t>6. Area of stationary object</t>
        </is>
      </c>
      <c r="I3" s="29" t="inlineStr">
        <is>
          <t>7. Volume of moving object</t>
        </is>
      </c>
      <c r="J3" s="29" t="inlineStr">
        <is>
          <t>8. Volume of stationary object</t>
        </is>
      </c>
      <c r="K3" s="29" t="inlineStr">
        <is>
          <t>9. Speed</t>
        </is>
      </c>
      <c r="L3" s="29" t="inlineStr">
        <is>
          <t>10. Force</t>
        </is>
      </c>
      <c r="M3" s="29" t="inlineStr">
        <is>
          <t>11. Stress or pressure</t>
        </is>
      </c>
      <c r="N3" s="29" t="inlineStr">
        <is>
          <t>12. Shape</t>
        </is>
      </c>
      <c r="O3" s="29" t="inlineStr">
        <is>
          <t>13. Stability of object composition</t>
        </is>
      </c>
      <c r="P3" s="29" t="inlineStr">
        <is>
          <t>14. Strength</t>
        </is>
      </c>
      <c r="Q3" s="29" t="inlineStr">
        <is>
          <t>15. Duration of action - moving</t>
        </is>
      </c>
      <c r="R3" s="29" t="inlineStr">
        <is>
          <t>16. Duration of action - stationary</t>
        </is>
      </c>
      <c r="S3" s="29" t="inlineStr">
        <is>
          <t>17. Temperature</t>
        </is>
      </c>
      <c r="T3" s="29" t="inlineStr">
        <is>
          <t>18. Illumination intensity</t>
        </is>
      </c>
      <c r="U3" s="29" t="inlineStr">
        <is>
          <t>19. Use of energy by moving object</t>
        </is>
      </c>
      <c r="V3" s="29" t="inlineStr">
        <is>
          <t>20. Use of energy by stationary object</t>
        </is>
      </c>
      <c r="W3" s="29" t="inlineStr">
        <is>
          <t>21. Power</t>
        </is>
      </c>
      <c r="X3" s="29" t="inlineStr">
        <is>
          <t>22. Loss of energy</t>
        </is>
      </c>
      <c r="Y3" s="29" t="inlineStr">
        <is>
          <t>23. Loss of substance</t>
        </is>
      </c>
      <c r="Z3" s="29" t="inlineStr">
        <is>
          <t>24. Loss of information</t>
        </is>
      </c>
      <c r="AA3" s="29" t="inlineStr">
        <is>
          <t>25. Loss of time</t>
        </is>
      </c>
      <c r="AB3" s="29" t="inlineStr">
        <is>
          <t>26. Amount of substance</t>
        </is>
      </c>
      <c r="AC3" s="29" t="inlineStr">
        <is>
          <t>27. Reliability</t>
        </is>
      </c>
      <c r="AD3" s="29" t="inlineStr">
        <is>
          <t>28. Measurement accuracy</t>
        </is>
      </c>
      <c r="AE3" s="29" t="inlineStr">
        <is>
          <t>29. Manufacturing precision</t>
        </is>
      </c>
      <c r="AF3" s="29" t="inlineStr">
        <is>
          <t>30. Object-generated harmful effects</t>
        </is>
      </c>
      <c r="AG3" s="29" t="inlineStr">
        <is>
          <t>31. Harmful side effects</t>
        </is>
      </c>
      <c r="AH3" s="29" t="inlineStr">
        <is>
          <t>32. Ease of manufacture</t>
        </is>
      </c>
      <c r="AI3" s="29" t="inlineStr">
        <is>
          <t>33. Ease of operation</t>
        </is>
      </c>
      <c r="AJ3" s="29" t="inlineStr">
        <is>
          <t>34. Ease of repair</t>
        </is>
      </c>
      <c r="AK3" s="29" t="inlineStr">
        <is>
          <t>35. Adaptability or versatility</t>
        </is>
      </c>
      <c r="AL3" s="29" t="inlineStr">
        <is>
          <t>36. Device complexity</t>
        </is>
      </c>
      <c r="AM3" s="29" t="inlineStr">
        <is>
          <t>37. Difficulty of detecting and measuring</t>
        </is>
      </c>
      <c r="AN3" s="29" t="inlineStr">
        <is>
          <t>38. Extent of automation</t>
        </is>
      </c>
      <c r="AO3" s="29" t="inlineStr">
        <is>
          <t>39. Productivity</t>
        </is>
      </c>
    </row>
    <row r="4" ht="15.75" customHeight="1" s="104">
      <c r="B4" s="30" t="inlineStr">
        <is>
          <t>1. Weight of moving object</t>
        </is>
      </c>
      <c r="C4" s="31" t="inlineStr">
        <is>
          <t>—</t>
        </is>
      </c>
      <c r="D4" s="32" t="inlineStr">
        <is>
          <t>15,8,29,34</t>
        </is>
      </c>
      <c r="E4" s="32" t="inlineStr">
        <is>
          <t>29,17,38,34</t>
        </is>
      </c>
      <c r="F4" s="33" t="n"/>
      <c r="G4" s="32" t="inlineStr">
        <is>
          <t>29,2,40,28</t>
        </is>
      </c>
      <c r="H4" s="33" t="n"/>
      <c r="I4" s="32" t="inlineStr">
        <is>
          <t>2,8,15,38</t>
        </is>
      </c>
      <c r="J4" s="33" t="n"/>
      <c r="K4" s="32" t="inlineStr">
        <is>
          <t>2,28,13,38</t>
        </is>
      </c>
      <c r="L4" s="32" t="inlineStr">
        <is>
          <t>8,1,37,18</t>
        </is>
      </c>
      <c r="M4" s="32" t="inlineStr">
        <is>
          <t>17,10,4</t>
        </is>
      </c>
      <c r="N4" s="32" t="inlineStr">
        <is>
          <t>1,8,15,34</t>
        </is>
      </c>
      <c r="O4" s="32" t="inlineStr">
        <is>
          <t>28,10</t>
        </is>
      </c>
      <c r="P4" s="32" t="inlineStr">
        <is>
          <t>1,8,40,15</t>
        </is>
      </c>
      <c r="Q4" s="32" t="inlineStr">
        <is>
          <t>15,14,28,26</t>
        </is>
      </c>
      <c r="R4" s="33" t="n"/>
      <c r="S4" s="32" t="inlineStr">
        <is>
          <t>35,10,3,21</t>
        </is>
      </c>
      <c r="T4" s="33" t="n"/>
      <c r="U4" s="32" t="inlineStr">
        <is>
          <t>35,19,18,37</t>
        </is>
      </c>
      <c r="V4" s="33" t="n"/>
      <c r="W4" s="32" t="inlineStr">
        <is>
          <t>12,18,28,31</t>
        </is>
      </c>
      <c r="X4" s="32" t="inlineStr">
        <is>
          <t>6,2,34,19</t>
        </is>
      </c>
      <c r="Y4" s="32" t="inlineStr">
        <is>
          <t>5,35,3,31</t>
        </is>
      </c>
      <c r="Z4" s="33" t="n"/>
      <c r="AA4" s="32" t="inlineStr">
        <is>
          <t>10,24,35,19</t>
        </is>
      </c>
      <c r="AB4" s="32" t="inlineStr">
        <is>
          <t>35,26</t>
        </is>
      </c>
      <c r="AC4" s="32" t="inlineStr">
        <is>
          <t>22,21,40,4</t>
        </is>
      </c>
      <c r="AD4" s="32" t="inlineStr">
        <is>
          <t>28,32,1,24</t>
        </is>
      </c>
      <c r="AE4" s="32" t="inlineStr">
        <is>
          <t>28,32,13,18</t>
        </is>
      </c>
      <c r="AF4" s="32" t="inlineStr">
        <is>
          <t>22,21,18,27</t>
        </is>
      </c>
      <c r="AG4" s="32" t="inlineStr">
        <is>
          <t>22,35,31,39</t>
        </is>
      </c>
      <c r="AH4" s="32" t="inlineStr">
        <is>
          <t>27,28,1,36</t>
        </is>
      </c>
      <c r="AI4" s="32" t="inlineStr">
        <is>
          <t>35,3,2,24</t>
        </is>
      </c>
      <c r="AJ4" s="32" t="inlineStr">
        <is>
          <t>29,3,8,25</t>
        </is>
      </c>
      <c r="AK4" s="32" t="inlineStr">
        <is>
          <t>1,28,35,6</t>
        </is>
      </c>
      <c r="AL4" s="32" t="inlineStr">
        <is>
          <t>26,27,13</t>
        </is>
      </c>
      <c r="AM4" s="32" t="inlineStr">
        <is>
          <t>28,26,18,35</t>
        </is>
      </c>
      <c r="AN4" s="32" t="inlineStr">
        <is>
          <t>22,21,18,27</t>
        </is>
      </c>
      <c r="AO4" s="32" t="inlineStr">
        <is>
          <t>35,26,24,37</t>
        </is>
      </c>
    </row>
    <row r="5" ht="15.75" customHeight="1" s="104">
      <c r="B5" s="30" t="inlineStr">
        <is>
          <t>2. Weight of stationary object</t>
        </is>
      </c>
      <c r="C5" s="32" t="inlineStr">
        <is>
          <t>10,1,29,35</t>
        </is>
      </c>
      <c r="D5" s="31" t="inlineStr">
        <is>
          <t>—</t>
        </is>
      </c>
      <c r="E5" s="33" t="n"/>
      <c r="F5" s="32" t="inlineStr">
        <is>
          <t>35,28,40,29</t>
        </is>
      </c>
      <c r="G5" s="33" t="n"/>
      <c r="H5" s="32" t="inlineStr">
        <is>
          <t>17,28</t>
        </is>
      </c>
      <c r="I5" s="33" t="n"/>
      <c r="J5" s="32" t="inlineStr">
        <is>
          <t>10,28,19,39</t>
        </is>
      </c>
      <c r="K5" s="33" t="n"/>
      <c r="L5" s="32" t="inlineStr">
        <is>
          <t>8,10,19,35</t>
        </is>
      </c>
      <c r="M5" s="32" t="inlineStr">
        <is>
          <t>13,19,10,37</t>
        </is>
      </c>
      <c r="N5" s="32" t="inlineStr">
        <is>
          <t>17,9,15</t>
        </is>
      </c>
      <c r="O5" s="32" t="inlineStr">
        <is>
          <t>28,10</t>
        </is>
      </c>
      <c r="P5" s="32" t="inlineStr">
        <is>
          <t>10,28,8</t>
        </is>
      </c>
      <c r="Q5" s="33" t="n"/>
      <c r="R5" s="32" t="inlineStr">
        <is>
          <t>35,10,21</t>
        </is>
      </c>
      <c r="S5" s="33" t="n"/>
      <c r="T5" s="33" t="n"/>
      <c r="U5" s="33" t="n"/>
      <c r="V5" s="32" t="inlineStr">
        <is>
          <t>19,18,36,40</t>
        </is>
      </c>
      <c r="W5" s="33" t="n"/>
      <c r="X5" s="32" t="inlineStr">
        <is>
          <t>18,19,28,1</t>
        </is>
      </c>
      <c r="Y5" s="32" t="inlineStr">
        <is>
          <t>15,18,35,34</t>
        </is>
      </c>
      <c r="Z5" s="33" t="n"/>
      <c r="AA5" s="32" t="inlineStr">
        <is>
          <t>10,20,26,5</t>
        </is>
      </c>
      <c r="AB5" s="33" t="n"/>
      <c r="AC5" s="32" t="inlineStr">
        <is>
          <t>10,35,29,39</t>
        </is>
      </c>
      <c r="AD5" s="32" t="inlineStr">
        <is>
          <t>28,32,10</t>
        </is>
      </c>
      <c r="AE5" s="32" t="inlineStr">
        <is>
          <t>28,32,10</t>
        </is>
      </c>
      <c r="AF5" s="32" t="inlineStr">
        <is>
          <t>35,11,22,31</t>
        </is>
      </c>
      <c r="AG5" s="32" t="inlineStr">
        <is>
          <t>22,19,29,40</t>
        </is>
      </c>
      <c r="AH5" s="32" t="inlineStr">
        <is>
          <t>35,10,16</t>
        </is>
      </c>
      <c r="AI5" s="32" t="inlineStr">
        <is>
          <t>1,6</t>
        </is>
      </c>
      <c r="AJ5" s="32" t="inlineStr">
        <is>
          <t>13,1,26,24</t>
        </is>
      </c>
      <c r="AK5" s="32" t="inlineStr">
        <is>
          <t>15,29,28</t>
        </is>
      </c>
      <c r="AL5" s="32" t="inlineStr">
        <is>
          <t>26</t>
        </is>
      </c>
      <c r="AM5" s="32" t="inlineStr">
        <is>
          <t>30,10,14,1</t>
        </is>
      </c>
      <c r="AN5" s="32" t="inlineStr">
        <is>
          <t>30,10,14,1</t>
        </is>
      </c>
      <c r="AO5" s="32" t="inlineStr">
        <is>
          <t>1,10,34,28</t>
        </is>
      </c>
    </row>
    <row r="6" ht="15.75" customHeight="1" s="104">
      <c r="B6" s="30" t="inlineStr">
        <is>
          <t>3. Length of moving object</t>
        </is>
      </c>
      <c r="C6" s="32" t="inlineStr">
        <is>
          <t>8,15,29,34</t>
        </is>
      </c>
      <c r="D6" s="33" t="n"/>
      <c r="E6" s="31" t="inlineStr">
        <is>
          <t>—</t>
        </is>
      </c>
      <c r="F6" s="32" t="inlineStr">
        <is>
          <t>15,17,4</t>
        </is>
      </c>
      <c r="G6" s="32" t="inlineStr">
        <is>
          <t>7,17,4,35</t>
        </is>
      </c>
      <c r="H6" s="33" t="n"/>
      <c r="I6" s="32" t="inlineStr">
        <is>
          <t>13,4,8</t>
        </is>
      </c>
      <c r="J6" s="33" t="n"/>
      <c r="K6" s="32" t="inlineStr">
        <is>
          <t>13,28</t>
        </is>
      </c>
      <c r="L6" s="32" t="inlineStr">
        <is>
          <t>17,10,4</t>
        </is>
      </c>
      <c r="M6" s="32" t="inlineStr">
        <is>
          <t>1,8,35</t>
        </is>
      </c>
      <c r="N6" s="32" t="inlineStr">
        <is>
          <t>1,15,8,35</t>
        </is>
      </c>
      <c r="O6" s="32" t="inlineStr">
        <is>
          <t>28,10</t>
        </is>
      </c>
      <c r="P6" s="32" t="inlineStr">
        <is>
          <t>8,35,29,34</t>
        </is>
      </c>
      <c r="Q6" s="32" t="inlineStr">
        <is>
          <t>19</t>
        </is>
      </c>
      <c r="R6" s="33" t="n"/>
      <c r="S6" s="32" t="inlineStr">
        <is>
          <t>10,15,19</t>
        </is>
      </c>
      <c r="T6" s="32" t="inlineStr">
        <is>
          <t>32</t>
        </is>
      </c>
      <c r="U6" s="32" t="inlineStr">
        <is>
          <t>19,10,32,18</t>
        </is>
      </c>
      <c r="V6" s="33" t="n"/>
      <c r="W6" s="33" t="n"/>
      <c r="X6" s="32" t="inlineStr">
        <is>
          <t>10,35,34,20</t>
        </is>
      </c>
      <c r="Y6" s="32" t="inlineStr">
        <is>
          <t>10,28,29,35</t>
        </is>
      </c>
      <c r="Z6" s="32" t="inlineStr">
        <is>
          <t>10,28,29,35</t>
        </is>
      </c>
      <c r="AA6" s="32" t="inlineStr">
        <is>
          <t>14,26,28,25</t>
        </is>
      </c>
      <c r="AB6" s="32" t="inlineStr">
        <is>
          <t>3,35,38,18</t>
        </is>
      </c>
      <c r="AC6" s="32" t="inlineStr">
        <is>
          <t>13,35</t>
        </is>
      </c>
      <c r="AD6" s="32" t="inlineStr">
        <is>
          <t>32,28,13</t>
        </is>
      </c>
      <c r="AE6" s="32" t="inlineStr">
        <is>
          <t>32,28,13</t>
        </is>
      </c>
      <c r="AF6" s="32" t="inlineStr">
        <is>
          <t>22,1,3,35</t>
        </is>
      </c>
      <c r="AG6" s="32" t="inlineStr">
        <is>
          <t>17,1,39,4</t>
        </is>
      </c>
      <c r="AH6" s="32" t="inlineStr">
        <is>
          <t>17,24,26,16</t>
        </is>
      </c>
      <c r="AI6" s="32" t="inlineStr">
        <is>
          <t>14,4,28,29</t>
        </is>
      </c>
      <c r="AJ6" s="32" t="inlineStr">
        <is>
          <t>1,4</t>
        </is>
      </c>
      <c r="AK6" s="32" t="inlineStr">
        <is>
          <t>17,15</t>
        </is>
      </c>
      <c r="AL6" s="32" t="inlineStr">
        <is>
          <t>1,17,13,12</t>
        </is>
      </c>
      <c r="AM6" s="32" t="inlineStr">
        <is>
          <t>1,17,13,16</t>
        </is>
      </c>
      <c r="AN6" s="33" t="n"/>
      <c r="AO6" s="32" t="inlineStr">
        <is>
          <t>14,4,28,29</t>
        </is>
      </c>
    </row>
    <row r="7" ht="15.75" customHeight="1" s="104">
      <c r="B7" s="30" t="inlineStr">
        <is>
          <t>4. Length of stationary object</t>
        </is>
      </c>
      <c r="C7" s="33" t="n"/>
      <c r="D7" s="32" t="inlineStr">
        <is>
          <t>35,28,40,29</t>
        </is>
      </c>
      <c r="E7" s="32" t="inlineStr">
        <is>
          <t>15,17,4</t>
        </is>
      </c>
      <c r="F7" s="31" t="inlineStr">
        <is>
          <t>—</t>
        </is>
      </c>
      <c r="G7" s="33" t="n"/>
      <c r="H7" s="32" t="inlineStr">
        <is>
          <t>17,7,10,40</t>
        </is>
      </c>
      <c r="I7" s="33" t="n"/>
      <c r="J7" s="32" t="inlineStr">
        <is>
          <t>35,8,2,14</t>
        </is>
      </c>
      <c r="K7" s="33" t="n"/>
      <c r="L7" s="33" t="n"/>
      <c r="M7" s="32" t="inlineStr">
        <is>
          <t>28,10</t>
        </is>
      </c>
      <c r="N7" s="32" t="inlineStr">
        <is>
          <t>1,14,35</t>
        </is>
      </c>
      <c r="O7" s="32" t="inlineStr">
        <is>
          <t>28,10</t>
        </is>
      </c>
      <c r="P7" s="32" t="inlineStr">
        <is>
          <t>3,35,38,18</t>
        </is>
      </c>
      <c r="Q7" s="33" t="n"/>
      <c r="R7" s="32" t="inlineStr">
        <is>
          <t>35,10,21</t>
        </is>
      </c>
      <c r="S7" s="33" t="n"/>
      <c r="T7" s="32" t="inlineStr">
        <is>
          <t>2,26</t>
        </is>
      </c>
      <c r="U7" s="33" t="n"/>
      <c r="V7" s="32" t="inlineStr">
        <is>
          <t>1,26</t>
        </is>
      </c>
      <c r="W7" s="33" t="n"/>
      <c r="X7" s="33" t="n"/>
      <c r="Y7" s="32" t="inlineStr">
        <is>
          <t>10,28,35,23</t>
        </is>
      </c>
      <c r="Z7" s="33" t="n"/>
      <c r="AA7" s="32" t="inlineStr">
        <is>
          <t>12,28,10,24</t>
        </is>
      </c>
      <c r="AB7" s="33" t="n"/>
      <c r="AC7" s="32" t="inlineStr">
        <is>
          <t>3,35,13</t>
        </is>
      </c>
      <c r="AD7" s="32" t="inlineStr">
        <is>
          <t>1,32</t>
        </is>
      </c>
      <c r="AE7" s="32" t="inlineStr">
        <is>
          <t>25,10</t>
        </is>
      </c>
      <c r="AF7" s="32" t="inlineStr">
        <is>
          <t>35,28,9,10</t>
        </is>
      </c>
      <c r="AG7" s="32" t="inlineStr">
        <is>
          <t>10,28,24,35</t>
        </is>
      </c>
      <c r="AH7" s="32" t="inlineStr">
        <is>
          <t>1,35,20,10</t>
        </is>
      </c>
      <c r="AI7" s="32" t="inlineStr">
        <is>
          <t>13,3,36,24</t>
        </is>
      </c>
      <c r="AJ7" s="32" t="inlineStr">
        <is>
          <t>15,37,8</t>
        </is>
      </c>
      <c r="AK7" s="32" t="inlineStr">
        <is>
          <t>15,10,37,28</t>
        </is>
      </c>
      <c r="AL7" s="32" t="inlineStr">
        <is>
          <t>26,1</t>
        </is>
      </c>
      <c r="AM7" s="32" t="inlineStr">
        <is>
          <t>29,1,4,16</t>
        </is>
      </c>
      <c r="AN7" s="32" t="inlineStr">
        <is>
          <t>2,18,37</t>
        </is>
      </c>
      <c r="AO7" s="32" t="inlineStr">
        <is>
          <t>28,10,29,35</t>
        </is>
      </c>
    </row>
    <row r="8" ht="15.75" customHeight="1" s="104">
      <c r="B8" s="30" t="inlineStr">
        <is>
          <t>5. Area of moving object</t>
        </is>
      </c>
      <c r="C8" s="32" t="inlineStr">
        <is>
          <t>2,17,29,4</t>
        </is>
      </c>
      <c r="D8" s="33" t="n"/>
      <c r="E8" s="32" t="inlineStr">
        <is>
          <t>14,15,18,4</t>
        </is>
      </c>
      <c r="F8" s="33" t="n"/>
      <c r="G8" s="31" t="inlineStr">
        <is>
          <t>—</t>
        </is>
      </c>
      <c r="H8" s="32" t="inlineStr">
        <is>
          <t>30,2</t>
        </is>
      </c>
      <c r="I8" s="32" t="inlineStr">
        <is>
          <t>26,7,9,39</t>
        </is>
      </c>
      <c r="J8" s="33" t="n"/>
      <c r="K8" s="32" t="inlineStr">
        <is>
          <t>2,38</t>
        </is>
      </c>
      <c r="L8" s="32" t="inlineStr">
        <is>
          <t>19,30,35,2</t>
        </is>
      </c>
      <c r="M8" s="32" t="inlineStr">
        <is>
          <t>15,17,30,26</t>
        </is>
      </c>
      <c r="N8" s="32" t="inlineStr">
        <is>
          <t>26,7,9,39</t>
        </is>
      </c>
      <c r="O8" s="32" t="inlineStr">
        <is>
          <t>2,11,13</t>
        </is>
      </c>
      <c r="P8" s="32" t="inlineStr">
        <is>
          <t>10,28,15</t>
        </is>
      </c>
      <c r="Q8" s="32" t="inlineStr">
        <is>
          <t>5,34,29,4</t>
        </is>
      </c>
      <c r="R8" s="33" t="n"/>
      <c r="S8" s="32" t="inlineStr">
        <is>
          <t>2,15,16</t>
        </is>
      </c>
      <c r="T8" s="32" t="inlineStr">
        <is>
          <t>15,32</t>
        </is>
      </c>
      <c r="U8" s="32" t="inlineStr">
        <is>
          <t>15,30,14,28</t>
        </is>
      </c>
      <c r="V8" s="33" t="n"/>
      <c r="W8" s="33" t="n"/>
      <c r="X8" s="32" t="inlineStr">
        <is>
          <t>15,26,17,13</t>
        </is>
      </c>
      <c r="Y8" s="32" t="inlineStr">
        <is>
          <t>17,26,38,10</t>
        </is>
      </c>
      <c r="Z8" s="32" t="inlineStr">
        <is>
          <t>14,9,13,15</t>
        </is>
      </c>
      <c r="AA8" s="32" t="inlineStr">
        <is>
          <t>2,6,34,14</t>
        </is>
      </c>
      <c r="AB8" s="32" t="inlineStr">
        <is>
          <t>10,15,17,7</t>
        </is>
      </c>
      <c r="AC8" s="32" t="inlineStr">
        <is>
          <t>10,22,29,40</t>
        </is>
      </c>
      <c r="AD8" s="32" t="inlineStr">
        <is>
          <t>28,32,3</t>
        </is>
      </c>
      <c r="AE8" s="32" t="inlineStr">
        <is>
          <t>32,28,3,16</t>
        </is>
      </c>
      <c r="AF8" s="32" t="inlineStr">
        <is>
          <t>2,25,28,39</t>
        </is>
      </c>
      <c r="AG8" s="32" t="inlineStr">
        <is>
          <t>1,28,10</t>
        </is>
      </c>
      <c r="AH8" s="32" t="inlineStr">
        <is>
          <t>1,32,10,25</t>
        </is>
      </c>
      <c r="AI8" s="32" t="inlineStr">
        <is>
          <t>1,32,13,11</t>
        </is>
      </c>
      <c r="AJ8" s="32" t="inlineStr">
        <is>
          <t>2,28,10,25</t>
        </is>
      </c>
      <c r="AK8" s="32" t="inlineStr">
        <is>
          <t>15,17,30,26</t>
        </is>
      </c>
      <c r="AL8" s="32" t="inlineStr">
        <is>
          <t>2,26,35</t>
        </is>
      </c>
      <c r="AM8" s="32" t="inlineStr">
        <is>
          <t>32,26,28,18</t>
        </is>
      </c>
      <c r="AN8" s="32" t="inlineStr">
        <is>
          <t>2,25,16</t>
        </is>
      </c>
      <c r="AO8" s="32" t="inlineStr">
        <is>
          <t>12,28,35</t>
        </is>
      </c>
    </row>
    <row r="9" ht="15.75" customHeight="1" s="104">
      <c r="B9" s="30" t="inlineStr">
        <is>
          <t>6. Area of stationary object</t>
        </is>
      </c>
      <c r="C9" s="33" t="n"/>
      <c r="D9" s="32" t="inlineStr">
        <is>
          <t>17,28</t>
        </is>
      </c>
      <c r="E9" s="33" t="n"/>
      <c r="F9" s="32" t="inlineStr">
        <is>
          <t>17,7,10,40</t>
        </is>
      </c>
      <c r="G9" s="32" t="inlineStr">
        <is>
          <t>30,2</t>
        </is>
      </c>
      <c r="H9" s="31" t="inlineStr">
        <is>
          <t>—</t>
        </is>
      </c>
      <c r="I9" s="33" t="n"/>
      <c r="J9" s="32" t="inlineStr">
        <is>
          <t>10,40,28,2</t>
        </is>
      </c>
      <c r="K9" s="32" t="inlineStr">
        <is>
          <t>3,35</t>
        </is>
      </c>
      <c r="L9" s="32" t="inlineStr">
        <is>
          <t>10,15,36,28</t>
        </is>
      </c>
      <c r="M9" s="32" t="inlineStr">
        <is>
          <t>10,15,36,37</t>
        </is>
      </c>
      <c r="N9" s="32" t="inlineStr">
        <is>
          <t>2,38</t>
        </is>
      </c>
      <c r="O9" s="32" t="inlineStr">
        <is>
          <t>35,10,14</t>
        </is>
      </c>
      <c r="P9" s="33" t="n"/>
      <c r="Q9" s="33" t="n"/>
      <c r="R9" s="33" t="n"/>
      <c r="S9" s="33" t="n"/>
      <c r="T9" s="33" t="n"/>
      <c r="U9" s="32" t="inlineStr">
        <is>
          <t>16,17,26,24</t>
        </is>
      </c>
      <c r="V9" s="33" t="n"/>
      <c r="W9" s="33" t="n"/>
      <c r="X9" s="33" t="n"/>
      <c r="Y9" s="32" t="inlineStr">
        <is>
          <t>16,17,26,24</t>
        </is>
      </c>
      <c r="Z9" s="33" t="n"/>
      <c r="AA9" s="32" t="inlineStr">
        <is>
          <t>16,4</t>
        </is>
      </c>
      <c r="AB9" s="32" t="inlineStr">
        <is>
          <t>16,4</t>
        </is>
      </c>
      <c r="AC9" s="32" t="inlineStr">
        <is>
          <t>10,35,4,18</t>
        </is>
      </c>
      <c r="AD9" s="32" t="inlineStr">
        <is>
          <t>28,32,3</t>
        </is>
      </c>
      <c r="AE9" s="32" t="inlineStr">
        <is>
          <t>3,35,38,18</t>
        </is>
      </c>
      <c r="AF9" s="32" t="inlineStr">
        <is>
          <t>22,21,3,35</t>
        </is>
      </c>
      <c r="AG9" s="32" t="inlineStr">
        <is>
          <t>27,2,39,35</t>
        </is>
      </c>
      <c r="AH9" s="32" t="inlineStr">
        <is>
          <t>10,35,28,24</t>
        </is>
      </c>
      <c r="AI9" s="32" t="inlineStr">
        <is>
          <t>35,1,13,11</t>
        </is>
      </c>
      <c r="AJ9" s="32" t="inlineStr">
        <is>
          <t>35,1,13,11</t>
        </is>
      </c>
      <c r="AK9" s="32" t="inlineStr">
        <is>
          <t>1,32</t>
        </is>
      </c>
      <c r="AL9" s="32" t="inlineStr">
        <is>
          <t>26,2</t>
        </is>
      </c>
      <c r="AM9" s="32" t="inlineStr">
        <is>
          <t>36,28,40,19</t>
        </is>
      </c>
      <c r="AN9" s="33" t="n"/>
      <c r="AO9" s="32" t="inlineStr">
        <is>
          <t>35,10,38,19</t>
        </is>
      </c>
    </row>
    <row r="10" ht="15.75" customHeight="1" s="104">
      <c r="B10" s="30" t="inlineStr">
        <is>
          <t>7. Volume of moving object</t>
        </is>
      </c>
      <c r="C10" s="32" t="inlineStr">
        <is>
          <t>2,26,29,40</t>
        </is>
      </c>
      <c r="D10" s="33" t="n"/>
      <c r="E10" s="32" t="inlineStr">
        <is>
          <t>1,7,4,35</t>
        </is>
      </c>
      <c r="F10" s="33" t="n"/>
      <c r="G10" s="32" t="inlineStr">
        <is>
          <t>1,7,4,17</t>
        </is>
      </c>
      <c r="H10" s="33" t="n"/>
      <c r="I10" s="31" t="inlineStr">
        <is>
          <t>—</t>
        </is>
      </c>
      <c r="J10" s="33" t="n"/>
      <c r="K10" s="32" t="inlineStr">
        <is>
          <t>29,4,38,34</t>
        </is>
      </c>
      <c r="L10" s="32" t="inlineStr">
        <is>
          <t>15,35,36,37</t>
        </is>
      </c>
      <c r="M10" s="32" t="inlineStr">
        <is>
          <t>6,35,36,37</t>
        </is>
      </c>
      <c r="N10" s="32" t="inlineStr">
        <is>
          <t>1,15,29,4</t>
        </is>
      </c>
      <c r="O10" s="32" t="inlineStr">
        <is>
          <t>28,10,1</t>
        </is>
      </c>
      <c r="P10" s="32" t="inlineStr">
        <is>
          <t>9,14,15,7</t>
        </is>
      </c>
      <c r="Q10" s="32" t="inlineStr">
        <is>
          <t>6,35,4</t>
        </is>
      </c>
      <c r="R10" s="33" t="n"/>
      <c r="S10" s="32" t="inlineStr">
        <is>
          <t>34,39,40,18</t>
        </is>
      </c>
      <c r="T10" s="32" t="inlineStr">
        <is>
          <t>2,13,10</t>
        </is>
      </c>
      <c r="U10" s="32" t="inlineStr">
        <is>
          <t>35,6,13,18</t>
        </is>
      </c>
      <c r="V10" s="32" t="inlineStr">
        <is>
          <t>7,2,35</t>
        </is>
      </c>
      <c r="W10" s="33" t="n"/>
      <c r="X10" s="32" t="inlineStr">
        <is>
          <t>16,35,38</t>
        </is>
      </c>
      <c r="Y10" s="32" t="inlineStr">
        <is>
          <t>2,20,22</t>
        </is>
      </c>
      <c r="Z10" s="32" t="inlineStr">
        <is>
          <t>26,24</t>
        </is>
      </c>
      <c r="AA10" s="32" t="inlineStr">
        <is>
          <t>35,6,13,18</t>
        </is>
      </c>
      <c r="AB10" s="32" t="inlineStr">
        <is>
          <t>10,6,2,34</t>
        </is>
      </c>
      <c r="AC10" s="32" t="inlineStr">
        <is>
          <t>39,35,34,10</t>
        </is>
      </c>
      <c r="AD10" s="32" t="inlineStr">
        <is>
          <t>28,32,4</t>
        </is>
      </c>
      <c r="AE10" s="32" t="inlineStr">
        <is>
          <t>28,32,4,22</t>
        </is>
      </c>
      <c r="AF10" s="32" t="inlineStr">
        <is>
          <t>22,21,27,35</t>
        </is>
      </c>
      <c r="AG10" s="32" t="inlineStr">
        <is>
          <t>34,10,28</t>
        </is>
      </c>
      <c r="AH10" s="32" t="inlineStr">
        <is>
          <t>10,28,32</t>
        </is>
      </c>
      <c r="AI10" s="32" t="inlineStr">
        <is>
          <t>15,34,33</t>
        </is>
      </c>
      <c r="AJ10" s="32" t="inlineStr">
        <is>
          <t>35,10,28,23</t>
        </is>
      </c>
      <c r="AK10" s="32" t="inlineStr">
        <is>
          <t>10,28,29,4</t>
        </is>
      </c>
      <c r="AL10" s="32" t="inlineStr">
        <is>
          <t>7,15,13,16</t>
        </is>
      </c>
      <c r="AM10" s="32" t="inlineStr">
        <is>
          <t>35,15,18,34</t>
        </is>
      </c>
      <c r="AN10" s="32" t="inlineStr">
        <is>
          <t>35,10,38</t>
        </is>
      </c>
      <c r="AO10" s="32" t="inlineStr">
        <is>
          <t>10,28,29,35</t>
        </is>
      </c>
    </row>
    <row r="11" ht="15.75" customHeight="1" s="104">
      <c r="B11" s="30" t="inlineStr">
        <is>
          <t>8. Volume of stationary object</t>
        </is>
      </c>
      <c r="C11" s="33" t="n"/>
      <c r="D11" s="32" t="inlineStr">
        <is>
          <t>10,28,19,39</t>
        </is>
      </c>
      <c r="E11" s="33" t="n"/>
      <c r="F11" s="32" t="inlineStr">
        <is>
          <t>35,8,2,14</t>
        </is>
      </c>
      <c r="G11" s="33" t="n"/>
      <c r="H11" s="32" t="inlineStr">
        <is>
          <t>10,40,28,2</t>
        </is>
      </c>
      <c r="I11" s="33" t="n"/>
      <c r="J11" s="31" t="inlineStr">
        <is>
          <t>—</t>
        </is>
      </c>
      <c r="K11" s="33" t="n"/>
      <c r="L11" s="32" t="inlineStr">
        <is>
          <t>2,18,37</t>
        </is>
      </c>
      <c r="M11" s="32" t="inlineStr">
        <is>
          <t>24,35</t>
        </is>
      </c>
      <c r="N11" s="32" t="inlineStr">
        <is>
          <t>7,2,35</t>
        </is>
      </c>
      <c r="O11" s="32" t="inlineStr">
        <is>
          <t>34,28,35,40</t>
        </is>
      </c>
      <c r="P11" s="32" t="inlineStr">
        <is>
          <t>9,14,17,15</t>
        </is>
      </c>
      <c r="Q11" s="33" t="n"/>
      <c r="R11" s="32" t="inlineStr">
        <is>
          <t>35,10,21</t>
        </is>
      </c>
      <c r="S11" s="33" t="n"/>
      <c r="T11" s="33" t="n"/>
      <c r="U11" s="33" t="n"/>
      <c r="V11" s="32" t="inlineStr">
        <is>
          <t>35,10,19,14</t>
        </is>
      </c>
      <c r="W11" s="33" t="n"/>
      <c r="X11" s="33" t="n"/>
      <c r="Y11" s="32" t="inlineStr">
        <is>
          <t>28,18,10,40</t>
        </is>
      </c>
      <c r="Z11" s="33" t="n"/>
      <c r="AA11" s="32" t="inlineStr">
        <is>
          <t>30,27</t>
        </is>
      </c>
      <c r="AB11" s="32" t="inlineStr">
        <is>
          <t>3,34,40,29</t>
        </is>
      </c>
      <c r="AC11" s="32" t="inlineStr">
        <is>
          <t>10,35,4</t>
        </is>
      </c>
      <c r="AD11" s="32" t="inlineStr">
        <is>
          <t>28,32,1</t>
        </is>
      </c>
      <c r="AE11" s="32" t="inlineStr">
        <is>
          <t>28,35,10,23</t>
        </is>
      </c>
      <c r="AF11" s="32" t="inlineStr">
        <is>
          <t>35,10,21</t>
        </is>
      </c>
      <c r="AG11" s="32" t="inlineStr">
        <is>
          <t>28,10,21,35</t>
        </is>
      </c>
      <c r="AH11" s="32" t="inlineStr">
        <is>
          <t>1,35,10,28</t>
        </is>
      </c>
      <c r="AI11" s="32" t="inlineStr">
        <is>
          <t>13,3,36,24</t>
        </is>
      </c>
      <c r="AJ11" s="32" t="inlineStr">
        <is>
          <t>15,37,8</t>
        </is>
      </c>
      <c r="AK11" s="32" t="inlineStr">
        <is>
          <t>15,10,37,28</t>
        </is>
      </c>
      <c r="AL11" s="32" t="inlineStr">
        <is>
          <t>26,1</t>
        </is>
      </c>
      <c r="AM11" s="32" t="inlineStr">
        <is>
          <t>29,1,4,16</t>
        </is>
      </c>
      <c r="AN11" s="32" t="inlineStr">
        <is>
          <t>2,18,37</t>
        </is>
      </c>
      <c r="AO11" s="32" t="inlineStr">
        <is>
          <t>28,10,29,35</t>
        </is>
      </c>
    </row>
    <row r="12" ht="15.75" customHeight="1" s="104">
      <c r="B12" s="30" t="inlineStr">
        <is>
          <t>9. Speed</t>
        </is>
      </c>
      <c r="C12" s="32" t="inlineStr">
        <is>
          <t>2,28,13,38</t>
        </is>
      </c>
      <c r="D12" s="33" t="n"/>
      <c r="E12" s="32" t="inlineStr">
        <is>
          <t>13,28,15</t>
        </is>
      </c>
      <c r="F12" s="33" t="n"/>
      <c r="G12" s="32" t="inlineStr">
        <is>
          <t>29,30,34</t>
        </is>
      </c>
      <c r="H12" s="32" t="inlineStr">
        <is>
          <t>7,29,34</t>
        </is>
      </c>
      <c r="I12" s="32" t="inlineStr">
        <is>
          <t>13,28,15,19</t>
        </is>
      </c>
      <c r="J12" s="33" t="n"/>
      <c r="K12" s="31" t="inlineStr">
        <is>
          <t>—</t>
        </is>
      </c>
      <c r="L12" s="32" t="inlineStr">
        <is>
          <t>28,33,1,18</t>
        </is>
      </c>
      <c r="M12" s="32" t="inlineStr">
        <is>
          <t>8,3,26,14</t>
        </is>
      </c>
      <c r="N12" s="32" t="inlineStr">
        <is>
          <t>15,37,19</t>
        </is>
      </c>
      <c r="O12" s="32" t="inlineStr">
        <is>
          <t>28,15</t>
        </is>
      </c>
      <c r="P12" s="32" t="inlineStr">
        <is>
          <t>18,13,34</t>
        </is>
      </c>
      <c r="Q12" s="32" t="inlineStr">
        <is>
          <t>10,37,36</t>
        </is>
      </c>
      <c r="R12" s="33" t="n"/>
      <c r="S12" s="32" t="inlineStr">
        <is>
          <t>28,30,36,2</t>
        </is>
      </c>
      <c r="T12" s="33" t="n"/>
      <c r="U12" s="32" t="inlineStr">
        <is>
          <t>13,28,15,12</t>
        </is>
      </c>
      <c r="V12" s="33" t="n"/>
      <c r="W12" s="32" t="inlineStr">
        <is>
          <t>6,18,38,40</t>
        </is>
      </c>
      <c r="X12" s="32" t="inlineStr">
        <is>
          <t>35,15,18,34</t>
        </is>
      </c>
      <c r="Y12" s="32" t="inlineStr">
        <is>
          <t>35,10,21</t>
        </is>
      </c>
      <c r="Z12" s="32" t="inlineStr">
        <is>
          <t>10,20,37,35</t>
        </is>
      </c>
      <c r="AA12" s="32" t="inlineStr">
        <is>
          <t>35,4,34,10</t>
        </is>
      </c>
      <c r="AB12" s="32" t="inlineStr">
        <is>
          <t>16,35,10</t>
        </is>
      </c>
      <c r="AC12" s="32" t="inlineStr">
        <is>
          <t>28,33,18,4</t>
        </is>
      </c>
      <c r="AD12" s="32" t="inlineStr">
        <is>
          <t>10,37,4</t>
        </is>
      </c>
      <c r="AE12" s="32" t="inlineStr">
        <is>
          <t>14,10,34,40</t>
        </is>
      </c>
      <c r="AF12" s="32" t="inlineStr">
        <is>
          <t>35,2,10,3</t>
        </is>
      </c>
      <c r="AG12" s="32" t="inlineStr">
        <is>
          <t>10,40,16</t>
        </is>
      </c>
      <c r="AH12" s="32" t="inlineStr">
        <is>
          <t>28,32,1</t>
        </is>
      </c>
      <c r="AI12" s="32" t="inlineStr">
        <is>
          <t>32,28,2,24</t>
        </is>
      </c>
      <c r="AJ12" s="32" t="inlineStr">
        <is>
          <t>34,10,28</t>
        </is>
      </c>
      <c r="AK12" s="32" t="inlineStr">
        <is>
          <t>10,28,32,25</t>
        </is>
      </c>
      <c r="AL12" s="32" t="inlineStr">
        <is>
          <t>13,26</t>
        </is>
      </c>
      <c r="AM12" s="32" t="inlineStr">
        <is>
          <t>2,6,34,14</t>
        </is>
      </c>
      <c r="AN12" s="32" t="inlineStr">
        <is>
          <t>35,10,34,28</t>
        </is>
      </c>
      <c r="AO12" s="32" t="inlineStr">
        <is>
          <t>28,10,29,35</t>
        </is>
      </c>
    </row>
    <row r="13" ht="15.75" customHeight="1" s="104">
      <c r="B13" s="30" t="inlineStr">
        <is>
          <t>10. Force</t>
        </is>
      </c>
      <c r="C13" s="32" t="inlineStr">
        <is>
          <t>8,1,37,18</t>
        </is>
      </c>
      <c r="D13" s="32" t="inlineStr">
        <is>
          <t>8,10,19,35</t>
        </is>
      </c>
      <c r="E13" s="32" t="inlineStr">
        <is>
          <t>17,10,4</t>
        </is>
      </c>
      <c r="F13" s="33" t="n"/>
      <c r="G13" s="32" t="inlineStr">
        <is>
          <t>19,30,35,2</t>
        </is>
      </c>
      <c r="H13" s="32" t="inlineStr">
        <is>
          <t>1,18,36,37</t>
        </is>
      </c>
      <c r="I13" s="32" t="inlineStr">
        <is>
          <t>15,9,12,37</t>
        </is>
      </c>
      <c r="J13" s="32" t="inlineStr">
        <is>
          <t>2,36,25</t>
        </is>
      </c>
      <c r="K13" s="32" t="inlineStr">
        <is>
          <t>13,28,15,12</t>
        </is>
      </c>
      <c r="L13" s="31" t="inlineStr">
        <is>
          <t>—</t>
        </is>
      </c>
      <c r="M13" s="32" t="inlineStr">
        <is>
          <t>36,35,21</t>
        </is>
      </c>
      <c r="N13" s="32" t="inlineStr">
        <is>
          <t>35,10,37,40</t>
        </is>
      </c>
      <c r="O13" s="32" t="inlineStr">
        <is>
          <t>35,1,14,16</t>
        </is>
      </c>
      <c r="P13" s="32" t="inlineStr">
        <is>
          <t>10,35,40</t>
        </is>
      </c>
      <c r="Q13" s="32" t="inlineStr">
        <is>
          <t>19,2,35,32</t>
        </is>
      </c>
      <c r="R13" s="33" t="n"/>
      <c r="S13" s="32" t="inlineStr">
        <is>
          <t>35,10,21</t>
        </is>
      </c>
      <c r="T13" s="32" t="inlineStr">
        <is>
          <t>1</t>
        </is>
      </c>
      <c r="U13" s="32" t="inlineStr">
        <is>
          <t>35,10,21</t>
        </is>
      </c>
      <c r="V13" s="33" t="n"/>
      <c r="W13" s="32" t="inlineStr">
        <is>
          <t>19,17,10</t>
        </is>
      </c>
      <c r="X13" s="32" t="inlineStr">
        <is>
          <t>1,6</t>
        </is>
      </c>
      <c r="Y13" s="32" t="inlineStr">
        <is>
          <t>10,35,4</t>
        </is>
      </c>
      <c r="Z13" s="32" t="inlineStr">
        <is>
          <t>14,2</t>
        </is>
      </c>
      <c r="AA13" s="32" t="inlineStr">
        <is>
          <t>15,4,17,28</t>
        </is>
      </c>
      <c r="AB13" s="32" t="inlineStr">
        <is>
          <t>3,35,13,21</t>
        </is>
      </c>
      <c r="AC13" s="32" t="inlineStr">
        <is>
          <t>35,10,14,3</t>
        </is>
      </c>
      <c r="AD13" s="32" t="inlineStr">
        <is>
          <t>15,17,30,26</t>
        </is>
      </c>
      <c r="AE13" s="32" t="inlineStr">
        <is>
          <t>15,29,28</t>
        </is>
      </c>
      <c r="AF13" s="32" t="inlineStr">
        <is>
          <t>14,15,22,35</t>
        </is>
      </c>
      <c r="AG13" s="32" t="inlineStr">
        <is>
          <t>10,3,18,40</t>
        </is>
      </c>
      <c r="AH13" s="32" t="inlineStr">
        <is>
          <t>26,32,27</t>
        </is>
      </c>
      <c r="AI13" s="32" t="inlineStr">
        <is>
          <t>26,10,28</t>
        </is>
      </c>
      <c r="AJ13" s="32" t="inlineStr">
        <is>
          <t>10,26,35</t>
        </is>
      </c>
      <c r="AK13" s="32" t="inlineStr">
        <is>
          <t>19,35,10,38</t>
        </is>
      </c>
      <c r="AL13" s="32" t="inlineStr">
        <is>
          <t>16,26,21,2</t>
        </is>
      </c>
      <c r="AM13" s="32" t="inlineStr">
        <is>
          <t>36,37</t>
        </is>
      </c>
      <c r="AN13" s="32" t="inlineStr">
        <is>
          <t>14,10,34,40</t>
        </is>
      </c>
      <c r="AO13" s="32" t="inlineStr">
        <is>
          <t>35,28,2,24</t>
        </is>
      </c>
    </row>
    <row r="14" ht="15.75" customHeight="1" s="104">
      <c r="B14" s="30" t="inlineStr">
        <is>
          <t>11. Stress or pressure</t>
        </is>
      </c>
      <c r="C14" s="32" t="inlineStr">
        <is>
          <t>10,36,37,40</t>
        </is>
      </c>
      <c r="D14" s="32" t="inlineStr">
        <is>
          <t>13,19,10,37</t>
        </is>
      </c>
      <c r="E14" s="32" t="inlineStr">
        <is>
          <t>1,8,35</t>
        </is>
      </c>
      <c r="F14" s="32" t="inlineStr">
        <is>
          <t>28,10</t>
        </is>
      </c>
      <c r="G14" s="32" t="inlineStr">
        <is>
          <t>19,10,15</t>
        </is>
      </c>
      <c r="H14" s="32" t="inlineStr">
        <is>
          <t>10,15,36,37</t>
        </is>
      </c>
      <c r="I14" s="32" t="inlineStr">
        <is>
          <t>35,22,40,15</t>
        </is>
      </c>
      <c r="J14" s="32" t="inlineStr">
        <is>
          <t>24,35</t>
        </is>
      </c>
      <c r="K14" s="32" t="inlineStr">
        <is>
          <t>28,15,10,36</t>
        </is>
      </c>
      <c r="L14" s="32" t="inlineStr">
        <is>
          <t>36,35,21</t>
        </is>
      </c>
      <c r="M14" s="31" t="inlineStr">
        <is>
          <t>—</t>
        </is>
      </c>
      <c r="N14" s="32" t="inlineStr">
        <is>
          <t>35,10,40,34</t>
        </is>
      </c>
      <c r="O14" s="32" t="inlineStr">
        <is>
          <t>35,4,15,10</t>
        </is>
      </c>
      <c r="P14" s="32" t="inlineStr">
        <is>
          <t>35,33,2,40</t>
        </is>
      </c>
      <c r="Q14" s="32" t="inlineStr">
        <is>
          <t>9,18,3,40</t>
        </is>
      </c>
      <c r="R14" s="33" t="n"/>
      <c r="S14" s="32" t="inlineStr">
        <is>
          <t>35,39,19,2</t>
        </is>
      </c>
      <c r="T14" s="33" t="n"/>
      <c r="U14" s="32" t="inlineStr">
        <is>
          <t>14,24,10,37</t>
        </is>
      </c>
      <c r="V14" s="33" t="n"/>
      <c r="W14" s="32" t="inlineStr">
        <is>
          <t>10,35,14</t>
        </is>
      </c>
      <c r="X14" s="32" t="inlineStr">
        <is>
          <t>2,36,25</t>
        </is>
      </c>
      <c r="Y14" s="32" t="inlineStr">
        <is>
          <t>35,24</t>
        </is>
      </c>
      <c r="Z14" s="32" t="inlineStr">
        <is>
          <t>10,14,35</t>
        </is>
      </c>
      <c r="AA14" s="32" t="inlineStr">
        <is>
          <t>35,4,15,10</t>
        </is>
      </c>
      <c r="AB14" s="32" t="inlineStr">
        <is>
          <t>35,33,29,31</t>
        </is>
      </c>
      <c r="AC14" s="32" t="inlineStr">
        <is>
          <t>10,35,40,4</t>
        </is>
      </c>
      <c r="AD14" s="32" t="inlineStr">
        <is>
          <t>28,32,1</t>
        </is>
      </c>
      <c r="AE14" s="32" t="inlineStr">
        <is>
          <t>3,35,40,10</t>
        </is>
      </c>
      <c r="AF14" s="32" t="inlineStr">
        <is>
          <t>22,2,37</t>
        </is>
      </c>
      <c r="AG14" s="32" t="inlineStr">
        <is>
          <t>2,33,27,18</t>
        </is>
      </c>
      <c r="AH14" s="32" t="inlineStr">
        <is>
          <t>35,1,32,10</t>
        </is>
      </c>
      <c r="AI14" s="32" t="inlineStr">
        <is>
          <t>35,40,28</t>
        </is>
      </c>
      <c r="AJ14" s="32" t="inlineStr">
        <is>
          <t>35,10,28,1</t>
        </is>
      </c>
      <c r="AK14" s="32" t="inlineStr">
        <is>
          <t>22,35,18,39</t>
        </is>
      </c>
      <c r="AL14" s="32" t="inlineStr">
        <is>
          <t>35,22,1,39</t>
        </is>
      </c>
      <c r="AM14" s="33" t="n"/>
      <c r="AN14" s="32" t="inlineStr">
        <is>
          <t>35,28,1,40</t>
        </is>
      </c>
      <c r="AO14" s="32" t="inlineStr">
        <is>
          <t>28,10,35</t>
        </is>
      </c>
    </row>
    <row r="15" ht="15.75" customHeight="1" s="104">
      <c r="B15" s="30" t="inlineStr">
        <is>
          <t>12. Shape</t>
        </is>
      </c>
      <c r="C15" s="32" t="inlineStr">
        <is>
          <t>8,10,29,40</t>
        </is>
      </c>
      <c r="D15" s="32" t="inlineStr">
        <is>
          <t>15,10,26,3</t>
        </is>
      </c>
      <c r="E15" s="32" t="inlineStr">
        <is>
          <t>29,34,5,4</t>
        </is>
      </c>
      <c r="F15" s="32" t="inlineStr">
        <is>
          <t>1,40,35</t>
        </is>
      </c>
      <c r="G15" s="32" t="inlineStr">
        <is>
          <t>14,10,34,40</t>
        </is>
      </c>
      <c r="H15" s="32" t="inlineStr">
        <is>
          <t>7,2,35</t>
        </is>
      </c>
      <c r="I15" s="32" t="inlineStr">
        <is>
          <t>35,15,34,18</t>
        </is>
      </c>
      <c r="J15" s="32" t="inlineStr">
        <is>
          <t>35,10,37,40</t>
        </is>
      </c>
      <c r="K15" s="32" t="inlineStr">
        <is>
          <t>34,15,10,14</t>
        </is>
      </c>
      <c r="L15" s="32" t="inlineStr">
        <is>
          <t>33,1,28,13</t>
        </is>
      </c>
      <c r="M15" s="32" t="inlineStr">
        <is>
          <t>30,14,10,40</t>
        </is>
      </c>
      <c r="N15" s="31" t="inlineStr">
        <is>
          <t>—</t>
        </is>
      </c>
      <c r="O15" s="32" t="inlineStr">
        <is>
          <t>10,40,16</t>
        </is>
      </c>
      <c r="P15" s="32" t="inlineStr">
        <is>
          <t>10,40,28,34</t>
        </is>
      </c>
      <c r="Q15" s="32" t="inlineStr">
        <is>
          <t>10,35,4,18</t>
        </is>
      </c>
      <c r="R15" s="33" t="n"/>
      <c r="S15" s="32" t="inlineStr">
        <is>
          <t>35,19,32,39</t>
        </is>
      </c>
      <c r="T15" s="32" t="inlineStr">
        <is>
          <t>2,32</t>
        </is>
      </c>
      <c r="U15" s="32" t="inlineStr">
        <is>
          <t>15,37,19</t>
        </is>
      </c>
      <c r="V15" s="32" t="inlineStr">
        <is>
          <t>15,13,39</t>
        </is>
      </c>
      <c r="W15" s="32" t="inlineStr">
        <is>
          <t>35,19,32,39</t>
        </is>
      </c>
      <c r="X15" s="32" t="inlineStr">
        <is>
          <t>7,2,35</t>
        </is>
      </c>
      <c r="Y15" s="32" t="inlineStr">
        <is>
          <t>35,10,25</t>
        </is>
      </c>
      <c r="Z15" s="32" t="inlineStr">
        <is>
          <t>10,14,35</t>
        </is>
      </c>
      <c r="AA15" s="32" t="inlineStr">
        <is>
          <t>14,9,22,35</t>
        </is>
      </c>
      <c r="AB15" s="32" t="inlineStr">
        <is>
          <t>22,14,19,32</t>
        </is>
      </c>
      <c r="AC15" s="32" t="inlineStr">
        <is>
          <t>13,35,39,18</t>
        </is>
      </c>
      <c r="AD15" s="32" t="inlineStr">
        <is>
          <t>28,32,35</t>
        </is>
      </c>
      <c r="AE15" s="32" t="inlineStr">
        <is>
          <t>28,32,23,16</t>
        </is>
      </c>
      <c r="AF15" s="32" t="inlineStr">
        <is>
          <t>22,2,37</t>
        </is>
      </c>
      <c r="AG15" s="32" t="inlineStr">
        <is>
          <t>13,35,1,16</t>
        </is>
      </c>
      <c r="AH15" s="32" t="inlineStr">
        <is>
          <t>22,10,35,28</t>
        </is>
      </c>
      <c r="AI15" s="32" t="inlineStr">
        <is>
          <t>22,10,35</t>
        </is>
      </c>
      <c r="AJ15" s="32" t="inlineStr">
        <is>
          <t>22,10,1</t>
        </is>
      </c>
      <c r="AK15" s="32" t="inlineStr">
        <is>
          <t>1,22,35,28</t>
        </is>
      </c>
      <c r="AL15" s="32" t="inlineStr">
        <is>
          <t>17,32,13,38</t>
        </is>
      </c>
      <c r="AM15" s="32" t="inlineStr">
        <is>
          <t>28,32,13</t>
        </is>
      </c>
      <c r="AN15" s="32" t="inlineStr">
        <is>
          <t>1,32,17,28</t>
        </is>
      </c>
      <c r="AO15" s="32" t="inlineStr">
        <is>
          <t>10,35,28,29</t>
        </is>
      </c>
    </row>
    <row r="16" ht="15.75" customHeight="1" s="104">
      <c r="B16" s="30" t="inlineStr">
        <is>
          <t>13. Stability of object composition</t>
        </is>
      </c>
      <c r="C16" s="32" t="inlineStr">
        <is>
          <t>21,35,2,39</t>
        </is>
      </c>
      <c r="D16" s="32" t="inlineStr">
        <is>
          <t>26,39,1,40</t>
        </is>
      </c>
      <c r="E16" s="32" t="inlineStr">
        <is>
          <t>28,10</t>
        </is>
      </c>
      <c r="F16" s="32" t="inlineStr">
        <is>
          <t>28,10</t>
        </is>
      </c>
      <c r="G16" s="32" t="inlineStr">
        <is>
          <t>14,9,13,15</t>
        </is>
      </c>
      <c r="H16" s="32" t="inlineStr">
        <is>
          <t>1,6,2,36</t>
        </is>
      </c>
      <c r="I16" s="32" t="inlineStr">
        <is>
          <t>35,1,14,16</t>
        </is>
      </c>
      <c r="J16" s="32" t="inlineStr">
        <is>
          <t>34,28,35,40</t>
        </is>
      </c>
      <c r="K16" s="32" t="inlineStr">
        <is>
          <t>33,15,28,18</t>
        </is>
      </c>
      <c r="L16" s="32" t="inlineStr">
        <is>
          <t>10,35,18,3</t>
        </is>
      </c>
      <c r="M16" s="32" t="inlineStr">
        <is>
          <t>35,10,18</t>
        </is>
      </c>
      <c r="N16" s="32" t="inlineStr">
        <is>
          <t>35,40,27,39</t>
        </is>
      </c>
      <c r="O16" s="31" t="inlineStr">
        <is>
          <t>—</t>
        </is>
      </c>
      <c r="P16" s="32" t="inlineStr">
        <is>
          <t>28,6,35,18</t>
        </is>
      </c>
      <c r="Q16" s="32" t="inlineStr">
        <is>
          <t>32,35,40,4</t>
        </is>
      </c>
      <c r="R16" s="33" t="n"/>
      <c r="S16" s="32" t="inlineStr">
        <is>
          <t>2,35,40</t>
        </is>
      </c>
      <c r="T16" s="33" t="n"/>
      <c r="U16" s="32" t="inlineStr">
        <is>
          <t>22,1,18,4</t>
        </is>
      </c>
      <c r="V16" s="33" t="n"/>
      <c r="W16" s="33" t="n"/>
      <c r="X16" s="32" t="inlineStr">
        <is>
          <t>17,9,15</t>
        </is>
      </c>
      <c r="Y16" s="32" t="inlineStr">
        <is>
          <t>13,27,10,35</t>
        </is>
      </c>
      <c r="Z16" s="32" t="inlineStr">
        <is>
          <t>2,22,35</t>
        </is>
      </c>
      <c r="AA16" s="32" t="inlineStr">
        <is>
          <t>10,4,29,15</t>
        </is>
      </c>
      <c r="AB16" s="32" t="inlineStr">
        <is>
          <t>35,29</t>
        </is>
      </c>
      <c r="AC16" s="32" t="inlineStr">
        <is>
          <t>3,35,40,10</t>
        </is>
      </c>
      <c r="AD16" s="32" t="inlineStr">
        <is>
          <t>11,28</t>
        </is>
      </c>
      <c r="AE16" s="32" t="inlineStr">
        <is>
          <t>2,35,40,10</t>
        </is>
      </c>
      <c r="AF16" s="32" t="inlineStr">
        <is>
          <t>1,35,28,18</t>
        </is>
      </c>
      <c r="AG16" s="32" t="inlineStr">
        <is>
          <t>35,40,27,39</t>
        </is>
      </c>
      <c r="AH16" s="32" t="inlineStr">
        <is>
          <t>1,13,32</t>
        </is>
      </c>
      <c r="AI16" s="32" t="inlineStr">
        <is>
          <t>35,1,32,13</t>
        </is>
      </c>
      <c r="AJ16" s="32" t="inlineStr">
        <is>
          <t>1,35,32</t>
        </is>
      </c>
      <c r="AK16" s="32" t="inlineStr">
        <is>
          <t>35,30,14,24</t>
        </is>
      </c>
      <c r="AL16" s="32" t="inlineStr">
        <is>
          <t>10,35,13</t>
        </is>
      </c>
      <c r="AM16" s="32" t="inlineStr">
        <is>
          <t>28,32,35</t>
        </is>
      </c>
      <c r="AN16" s="32" t="inlineStr">
        <is>
          <t>26,2</t>
        </is>
      </c>
      <c r="AO16" s="32" t="inlineStr">
        <is>
          <t>35,28</t>
        </is>
      </c>
    </row>
    <row r="17" ht="15.75" customHeight="1" s="104">
      <c r="B17" s="30" t="inlineStr">
        <is>
          <t>14. Strength</t>
        </is>
      </c>
      <c r="C17" s="32" t="inlineStr">
        <is>
          <t>1,8,40,15</t>
        </is>
      </c>
      <c r="D17" s="32" t="inlineStr">
        <is>
          <t>40,26,27,1</t>
        </is>
      </c>
      <c r="E17" s="32" t="inlineStr">
        <is>
          <t>1,15,8,35</t>
        </is>
      </c>
      <c r="F17" s="32" t="inlineStr">
        <is>
          <t>15,14,28,26</t>
        </is>
      </c>
      <c r="G17" s="32" t="inlineStr">
        <is>
          <t>3,34,40,29</t>
        </is>
      </c>
      <c r="H17" s="32" t="inlineStr">
        <is>
          <t>10,14,29,40</t>
        </is>
      </c>
      <c r="I17" s="32" t="inlineStr">
        <is>
          <t>10,15,14,7</t>
        </is>
      </c>
      <c r="J17" s="32" t="inlineStr">
        <is>
          <t>9,14,17,15</t>
        </is>
      </c>
      <c r="K17" s="32" t="inlineStr">
        <is>
          <t>8,13,26,14</t>
        </is>
      </c>
      <c r="L17" s="32" t="inlineStr">
        <is>
          <t>10,18,3,14</t>
        </is>
      </c>
      <c r="M17" s="32" t="inlineStr">
        <is>
          <t>10,3,18,40</t>
        </is>
      </c>
      <c r="N17" s="32" t="inlineStr">
        <is>
          <t>10,30,35,40</t>
        </is>
      </c>
      <c r="O17" s="32" t="inlineStr">
        <is>
          <t>35,3,22,39</t>
        </is>
      </c>
      <c r="P17" s="31" t="inlineStr">
        <is>
          <t>—</t>
        </is>
      </c>
      <c r="Q17" s="32" t="inlineStr">
        <is>
          <t>9,18,3,40</t>
        </is>
      </c>
      <c r="R17" s="33" t="n"/>
      <c r="S17" s="33" t="n"/>
      <c r="T17" s="32" t="inlineStr">
        <is>
          <t>3,27,16</t>
        </is>
      </c>
      <c r="U17" s="32" t="inlineStr">
        <is>
          <t>3,27,16</t>
        </is>
      </c>
      <c r="V17" s="33" t="n"/>
      <c r="W17" s="33" t="n"/>
      <c r="X17" s="32" t="inlineStr">
        <is>
          <t>29,3,28,35</t>
        </is>
      </c>
      <c r="Y17" s="32" t="inlineStr">
        <is>
          <t>10,35,14</t>
        </is>
      </c>
      <c r="Z17" s="32" t="inlineStr">
        <is>
          <t>10,14,35</t>
        </is>
      </c>
      <c r="AA17" s="32" t="inlineStr">
        <is>
          <t>10,28,24</t>
        </is>
      </c>
      <c r="AB17" s="32" t="inlineStr">
        <is>
          <t>3,35,13</t>
        </is>
      </c>
      <c r="AC17" s="32" t="inlineStr">
        <is>
          <t>27,3,26</t>
        </is>
      </c>
      <c r="AD17" s="32" t="inlineStr">
        <is>
          <t>28,32,13</t>
        </is>
      </c>
      <c r="AE17" s="32" t="inlineStr">
        <is>
          <t>10,28,29,37</t>
        </is>
      </c>
      <c r="AF17" s="32" t="inlineStr">
        <is>
          <t>1,35,40,18</t>
        </is>
      </c>
      <c r="AG17" s="32" t="inlineStr">
        <is>
          <t>28,3,27,35</t>
        </is>
      </c>
      <c r="AH17" s="32" t="inlineStr">
        <is>
          <t>1,35,13</t>
        </is>
      </c>
      <c r="AI17" s="32" t="inlineStr">
        <is>
          <t>15,34,33</t>
        </is>
      </c>
      <c r="AJ17" s="32" t="inlineStr">
        <is>
          <t>32,35,28,34</t>
        </is>
      </c>
      <c r="AK17" s="32" t="inlineStr">
        <is>
          <t>32,40,28,2</t>
        </is>
      </c>
      <c r="AL17" s="32" t="inlineStr">
        <is>
          <t>27,11,3</t>
        </is>
      </c>
      <c r="AM17" s="32" t="inlineStr">
        <is>
          <t>28,32,13</t>
        </is>
      </c>
      <c r="AN17" s="32" t="inlineStr">
        <is>
          <t>28,35,3</t>
        </is>
      </c>
      <c r="AO17" s="32" t="inlineStr">
        <is>
          <t>1,28,10</t>
        </is>
      </c>
    </row>
    <row r="18" ht="15.75" customHeight="1" s="104">
      <c r="B18" s="30" t="inlineStr">
        <is>
          <t>15. Duration of action - moving</t>
        </is>
      </c>
      <c r="C18" s="32" t="inlineStr">
        <is>
          <t>19,5,34,31</t>
        </is>
      </c>
      <c r="D18" s="33" t="n"/>
      <c r="E18" s="32" t="inlineStr">
        <is>
          <t>2,19,9</t>
        </is>
      </c>
      <c r="F18" s="33" t="n"/>
      <c r="G18" s="32" t="inlineStr">
        <is>
          <t>3,17,19</t>
        </is>
      </c>
      <c r="H18" s="33" t="n"/>
      <c r="I18" s="32" t="inlineStr">
        <is>
          <t>19,10,35,38</t>
        </is>
      </c>
      <c r="J18" s="33" t="n"/>
      <c r="K18" s="32" t="inlineStr">
        <is>
          <t>28,33,18,4</t>
        </is>
      </c>
      <c r="L18" s="32" t="inlineStr">
        <is>
          <t>3,35,5</t>
        </is>
      </c>
      <c r="M18" s="32" t="inlineStr">
        <is>
          <t>10,3,18,40</t>
        </is>
      </c>
      <c r="N18" s="32" t="inlineStr">
        <is>
          <t>19,35,10</t>
        </is>
      </c>
      <c r="O18" s="32" t="inlineStr">
        <is>
          <t>16,34,31,28</t>
        </is>
      </c>
      <c r="P18" s="32" t="inlineStr">
        <is>
          <t>10,37,14</t>
        </is>
      </c>
      <c r="Q18" s="31" t="inlineStr">
        <is>
          <t>—</t>
        </is>
      </c>
      <c r="R18" s="32" t="inlineStr">
        <is>
          <t>3,35,13,21</t>
        </is>
      </c>
      <c r="S18" s="32" t="inlineStr">
        <is>
          <t>19,35,10,38</t>
        </is>
      </c>
      <c r="T18" s="32" t="inlineStr">
        <is>
          <t>2,19,13</t>
        </is>
      </c>
      <c r="U18" s="32" t="inlineStr">
        <is>
          <t>28,6,35,18</t>
        </is>
      </c>
      <c r="V18" s="33" t="n"/>
      <c r="W18" s="32" t="inlineStr">
        <is>
          <t>8,35</t>
        </is>
      </c>
      <c r="X18" s="32" t="inlineStr">
        <is>
          <t>35,11,22,31</t>
        </is>
      </c>
      <c r="Y18" s="32" t="inlineStr">
        <is>
          <t>3,18,34,31</t>
        </is>
      </c>
      <c r="Z18" s="32" t="inlineStr">
        <is>
          <t>22,10,1,35</t>
        </is>
      </c>
      <c r="AA18" s="32" t="inlineStr">
        <is>
          <t>10,30,4</t>
        </is>
      </c>
      <c r="AB18" s="32" t="inlineStr">
        <is>
          <t>17,9,15</t>
        </is>
      </c>
      <c r="AC18" s="32" t="inlineStr">
        <is>
          <t>35,10,3</t>
        </is>
      </c>
      <c r="AD18" s="32" t="inlineStr">
        <is>
          <t>3,27,16</t>
        </is>
      </c>
      <c r="AE18" s="32" t="inlineStr">
        <is>
          <t>3,27,16,40</t>
        </is>
      </c>
      <c r="AF18" s="32" t="inlineStr">
        <is>
          <t>35,3,15,19</t>
        </is>
      </c>
      <c r="AG18" s="32" t="inlineStr">
        <is>
          <t>3,27,35,16</t>
        </is>
      </c>
      <c r="AH18" s="32" t="inlineStr">
        <is>
          <t>3,27,35,16</t>
        </is>
      </c>
      <c r="AI18" s="32" t="inlineStr">
        <is>
          <t>21,3,35,13</t>
        </is>
      </c>
      <c r="AJ18" s="32" t="inlineStr">
        <is>
          <t>35,10,28,3</t>
        </is>
      </c>
      <c r="AK18" s="32" t="inlineStr">
        <is>
          <t>3,35,10,40</t>
        </is>
      </c>
      <c r="AL18" s="32" t="inlineStr">
        <is>
          <t>22,2,37</t>
        </is>
      </c>
      <c r="AM18" s="32" t="inlineStr">
        <is>
          <t>22,3,34</t>
        </is>
      </c>
      <c r="AN18" s="32" t="inlineStr">
        <is>
          <t>29,3,28,18</t>
        </is>
      </c>
      <c r="AO18" s="32" t="inlineStr">
        <is>
          <t>35,10,2,18</t>
        </is>
      </c>
    </row>
    <row r="19" ht="15.75" customHeight="1" s="104">
      <c r="B19" s="30" t="inlineStr">
        <is>
          <t>16. Duration of action - stationary</t>
        </is>
      </c>
      <c r="C19" s="33" t="n"/>
      <c r="D19" s="32" t="inlineStr">
        <is>
          <t>35,10,21</t>
        </is>
      </c>
      <c r="E19" s="33" t="n"/>
      <c r="F19" s="32" t="inlineStr">
        <is>
          <t>35,10,21</t>
        </is>
      </c>
      <c r="G19" s="33" t="n"/>
      <c r="H19" s="32" t="inlineStr">
        <is>
          <t>35,10,21</t>
        </is>
      </c>
      <c r="I19" s="33" t="n"/>
      <c r="J19" s="32" t="inlineStr">
        <is>
          <t>35,10,21</t>
        </is>
      </c>
      <c r="K19" s="33" t="n"/>
      <c r="L19" s="33" t="n"/>
      <c r="M19" s="33" t="n"/>
      <c r="N19" s="33" t="n"/>
      <c r="O19" s="33" t="n"/>
      <c r="P19" s="33" t="n"/>
      <c r="Q19" s="33" t="n"/>
      <c r="R19" s="31" t="inlineStr">
        <is>
          <t>—</t>
        </is>
      </c>
      <c r="S19" s="32" t="inlineStr">
        <is>
          <t>19,1,35</t>
        </is>
      </c>
      <c r="T19" s="33" t="n"/>
      <c r="U19" s="32" t="inlineStr">
        <is>
          <t>19,2,35,32</t>
        </is>
      </c>
      <c r="V19" s="33" t="n"/>
      <c r="W19" s="33" t="n"/>
      <c r="X19" s="33" t="n"/>
      <c r="Y19" s="32" t="inlineStr">
        <is>
          <t>1,6,33</t>
        </is>
      </c>
      <c r="Z19" s="32" t="inlineStr">
        <is>
          <t>19,28,26,35</t>
        </is>
      </c>
      <c r="AA19" s="32" t="inlineStr">
        <is>
          <t>35,28</t>
        </is>
      </c>
      <c r="AB19" s="33" t="n"/>
      <c r="AC19" s="32" t="inlineStr">
        <is>
          <t>1,35,6,10</t>
        </is>
      </c>
      <c r="AD19" s="32" t="inlineStr">
        <is>
          <t>28,10,2,35</t>
        </is>
      </c>
      <c r="AE19" s="32" t="inlineStr">
        <is>
          <t>3,35,10</t>
        </is>
      </c>
      <c r="AF19" s="32" t="inlineStr">
        <is>
          <t>28,10,29,35</t>
        </is>
      </c>
      <c r="AG19" s="32" t="inlineStr">
        <is>
          <t>28,10,35</t>
        </is>
      </c>
      <c r="AH19" s="32" t="inlineStr">
        <is>
          <t>28,10,35,23</t>
        </is>
      </c>
      <c r="AI19" s="32" t="inlineStr">
        <is>
          <t>28,10,29,35</t>
        </is>
      </c>
      <c r="AJ19" s="32" t="inlineStr">
        <is>
          <t>1,28,10</t>
        </is>
      </c>
      <c r="AK19" s="32" t="inlineStr">
        <is>
          <t>1,35,13</t>
        </is>
      </c>
      <c r="AL19" s="32" t="inlineStr">
        <is>
          <t>1,35,29</t>
        </is>
      </c>
      <c r="AM19" s="33" t="n"/>
      <c r="AN19" s="32" t="inlineStr">
        <is>
          <t>2,25</t>
        </is>
      </c>
      <c r="AO19" s="32" t="inlineStr">
        <is>
          <t>12,35,26,18</t>
        </is>
      </c>
    </row>
    <row r="20" ht="15.75" customHeight="1" s="104">
      <c r="B20" s="30" t="inlineStr">
        <is>
          <t>17. Temperature</t>
        </is>
      </c>
      <c r="C20" s="32" t="inlineStr">
        <is>
          <t>36,22,6,38</t>
        </is>
      </c>
      <c r="D20" s="33" t="n"/>
      <c r="E20" s="32" t="inlineStr">
        <is>
          <t>22,35,32</t>
        </is>
      </c>
      <c r="F20" s="33" t="n"/>
      <c r="G20" s="32" t="inlineStr">
        <is>
          <t>22,1,18</t>
        </is>
      </c>
      <c r="H20" s="33" t="n"/>
      <c r="I20" s="32" t="inlineStr">
        <is>
          <t>22,35,2,24</t>
        </is>
      </c>
      <c r="J20" s="33" t="n"/>
      <c r="K20" s="32" t="inlineStr">
        <is>
          <t>35,28,21,18</t>
        </is>
      </c>
      <c r="L20" s="32" t="inlineStr">
        <is>
          <t>35,28,21,18</t>
        </is>
      </c>
      <c r="M20" s="32" t="inlineStr">
        <is>
          <t>1,28,15,35</t>
        </is>
      </c>
      <c r="N20" s="32" t="inlineStr">
        <is>
          <t>15,22,33,31</t>
        </is>
      </c>
      <c r="O20" s="32" t="inlineStr">
        <is>
          <t>15,19,9</t>
        </is>
      </c>
      <c r="P20" s="32" t="inlineStr">
        <is>
          <t>3,35,38,18</t>
        </is>
      </c>
      <c r="Q20" s="32" t="inlineStr">
        <is>
          <t>3,35,22,5</t>
        </is>
      </c>
      <c r="R20" s="33" t="n"/>
      <c r="S20" s="31" t="inlineStr">
        <is>
          <t>—</t>
        </is>
      </c>
      <c r="T20" s="32" t="inlineStr">
        <is>
          <t>22,15,33,28</t>
        </is>
      </c>
      <c r="U20" s="32" t="inlineStr">
        <is>
          <t>1,35,32</t>
        </is>
      </c>
      <c r="V20" s="32" t="inlineStr">
        <is>
          <t>19,32,16</t>
        </is>
      </c>
      <c r="W20" s="32" t="inlineStr">
        <is>
          <t>2,14,17,25</t>
        </is>
      </c>
      <c r="X20" s="32" t="inlineStr">
        <is>
          <t>21,17,35,38</t>
        </is>
      </c>
      <c r="Y20" s="32" t="inlineStr">
        <is>
          <t>21,36,29,31</t>
        </is>
      </c>
      <c r="Z20" s="32" t="inlineStr">
        <is>
          <t>26,27</t>
        </is>
      </c>
      <c r="AA20" s="32" t="inlineStr">
        <is>
          <t>2,5,35</t>
        </is>
      </c>
      <c r="AB20" s="32" t="inlineStr">
        <is>
          <t>28,24,22,26</t>
        </is>
      </c>
      <c r="AC20" s="32" t="inlineStr">
        <is>
          <t>35,13,8,1</t>
        </is>
      </c>
      <c r="AD20" s="32" t="inlineStr">
        <is>
          <t>35,32,1</t>
        </is>
      </c>
      <c r="AE20" s="32" t="inlineStr">
        <is>
          <t>28,32,1,24</t>
        </is>
      </c>
      <c r="AF20" s="32" t="inlineStr">
        <is>
          <t>22,21,18,27</t>
        </is>
      </c>
      <c r="AG20" s="32" t="inlineStr">
        <is>
          <t>22,35,31,2</t>
        </is>
      </c>
      <c r="AH20" s="32" t="inlineStr">
        <is>
          <t>27,2,39,35</t>
        </is>
      </c>
      <c r="AI20" s="32" t="inlineStr">
        <is>
          <t>28,27,2,31</t>
        </is>
      </c>
      <c r="AJ20" s="32" t="inlineStr">
        <is>
          <t>35,19</t>
        </is>
      </c>
      <c r="AK20" s="32" t="inlineStr">
        <is>
          <t>1,6,15</t>
        </is>
      </c>
      <c r="AL20" s="32" t="inlineStr">
        <is>
          <t>28,17,15,16</t>
        </is>
      </c>
      <c r="AM20" s="32" t="inlineStr">
        <is>
          <t>26,27,13</t>
        </is>
      </c>
      <c r="AN20" s="32" t="inlineStr">
        <is>
          <t>2,24,26</t>
        </is>
      </c>
      <c r="AO20" s="32" t="inlineStr">
        <is>
          <t>35,38</t>
        </is>
      </c>
    </row>
    <row r="21" ht="15.75" customHeight="1" s="104">
      <c r="B21" s="30" t="inlineStr">
        <is>
          <t>18. Illumination intensity</t>
        </is>
      </c>
      <c r="C21" s="33" t="n"/>
      <c r="D21" s="33" t="n"/>
      <c r="E21" s="32" t="inlineStr">
        <is>
          <t>32,13</t>
        </is>
      </c>
      <c r="F21" s="32" t="inlineStr">
        <is>
          <t>32,26</t>
        </is>
      </c>
      <c r="G21" s="32" t="inlineStr">
        <is>
          <t>32,30</t>
        </is>
      </c>
      <c r="H21" s="33" t="n"/>
      <c r="I21" s="32" t="inlineStr">
        <is>
          <t>13,16,1,6</t>
        </is>
      </c>
      <c r="J21" s="33" t="n"/>
      <c r="K21" s="33" t="n"/>
      <c r="L21" s="32" t="inlineStr">
        <is>
          <t>1</t>
        </is>
      </c>
      <c r="M21" s="33" t="n"/>
      <c r="N21" s="32" t="inlineStr">
        <is>
          <t>2,32</t>
        </is>
      </c>
      <c r="O21" s="32" t="inlineStr">
        <is>
          <t>32,35,19</t>
        </is>
      </c>
      <c r="P21" s="32" t="inlineStr">
        <is>
          <t>3,27,16</t>
        </is>
      </c>
      <c r="Q21" s="32" t="inlineStr">
        <is>
          <t>2,13,19</t>
        </is>
      </c>
      <c r="R21" s="33" t="n"/>
      <c r="S21" s="32" t="inlineStr">
        <is>
          <t>22,15,33,28</t>
        </is>
      </c>
      <c r="T21" s="31" t="inlineStr">
        <is>
          <t>—</t>
        </is>
      </c>
      <c r="U21" s="32" t="inlineStr">
        <is>
          <t>8,35,40,25</t>
        </is>
      </c>
      <c r="V21" s="33" t="n"/>
      <c r="W21" s="32" t="inlineStr">
        <is>
          <t>35,28,34,4</t>
        </is>
      </c>
      <c r="X21" s="32" t="inlineStr">
        <is>
          <t>10,28,38</t>
        </is>
      </c>
      <c r="Y21" s="32" t="inlineStr">
        <is>
          <t>28,10,20</t>
        </is>
      </c>
      <c r="Z21" s="32" t="inlineStr">
        <is>
          <t>35,13</t>
        </is>
      </c>
      <c r="AA21" s="32" t="inlineStr">
        <is>
          <t>6,13,28,1</t>
        </is>
      </c>
      <c r="AB21" s="32" t="inlineStr">
        <is>
          <t>32,15,26</t>
        </is>
      </c>
      <c r="AC21" s="32" t="inlineStr">
        <is>
          <t>32,28,26</t>
        </is>
      </c>
      <c r="AD21" s="32" t="inlineStr">
        <is>
          <t>32,35,10</t>
        </is>
      </c>
      <c r="AE21" s="32" t="inlineStr">
        <is>
          <t>28,35,10,23</t>
        </is>
      </c>
      <c r="AF21" s="32" t="inlineStr">
        <is>
          <t>35,10,3,21</t>
        </is>
      </c>
      <c r="AG21" s="32" t="inlineStr">
        <is>
          <t>10,3,18,40</t>
        </is>
      </c>
      <c r="AH21" s="32" t="inlineStr">
        <is>
          <t>22,35,28,10</t>
        </is>
      </c>
      <c r="AI21" s="32" t="inlineStr">
        <is>
          <t>35,13,22,18</t>
        </is>
      </c>
      <c r="AJ21" s="32" t="inlineStr">
        <is>
          <t>11,32,13</t>
        </is>
      </c>
      <c r="AK21" s="32" t="inlineStr">
        <is>
          <t>2,13,28,35</t>
        </is>
      </c>
      <c r="AL21" s="32" t="inlineStr">
        <is>
          <t>17,32,13,38</t>
        </is>
      </c>
      <c r="AM21" s="32" t="inlineStr">
        <is>
          <t>32,13,6</t>
        </is>
      </c>
      <c r="AN21" s="32" t="inlineStr">
        <is>
          <t>32,2</t>
        </is>
      </c>
      <c r="AO21" s="32" t="inlineStr">
        <is>
          <t>13,16,1,6</t>
        </is>
      </c>
    </row>
    <row r="22" ht="15.75" customHeight="1" s="104">
      <c r="B22" s="30" t="inlineStr">
        <is>
          <t>19. Use of energy by moving object</t>
        </is>
      </c>
      <c r="C22" s="32" t="inlineStr">
        <is>
          <t>12,18,28,31</t>
        </is>
      </c>
      <c r="D22" s="33" t="n"/>
      <c r="E22" s="32" t="inlineStr">
        <is>
          <t>19,10,32,18</t>
        </is>
      </c>
      <c r="F22" s="33" t="n"/>
      <c r="G22" s="32" t="inlineStr">
        <is>
          <t>12,28,35</t>
        </is>
      </c>
      <c r="H22" s="32" t="inlineStr">
        <is>
          <t>12,28,35</t>
        </is>
      </c>
      <c r="I22" s="32" t="inlineStr">
        <is>
          <t>14,2,39,6</t>
        </is>
      </c>
      <c r="J22" s="33" t="n"/>
      <c r="K22" s="32" t="inlineStr">
        <is>
          <t>12,28</t>
        </is>
      </c>
      <c r="L22" s="32" t="inlineStr">
        <is>
          <t>19,13,17,24</t>
        </is>
      </c>
      <c r="M22" s="32" t="inlineStr">
        <is>
          <t>19,14,20,35</t>
        </is>
      </c>
      <c r="N22" s="32" t="inlineStr">
        <is>
          <t>10,36,14,35</t>
        </is>
      </c>
      <c r="O22" s="32" t="inlineStr">
        <is>
          <t>10,36,3,14</t>
        </is>
      </c>
      <c r="P22" s="32" t="inlineStr">
        <is>
          <t>14,35,34,10</t>
        </is>
      </c>
      <c r="Q22" s="32" t="inlineStr">
        <is>
          <t>35,26,4</t>
        </is>
      </c>
      <c r="R22" s="32" t="inlineStr">
        <is>
          <t>12,28,35</t>
        </is>
      </c>
      <c r="S22" s="32" t="inlineStr">
        <is>
          <t>1,35,32</t>
        </is>
      </c>
      <c r="T22" s="32" t="inlineStr">
        <is>
          <t>8,35,40,25</t>
        </is>
      </c>
      <c r="U22" s="31" t="inlineStr">
        <is>
          <t>—</t>
        </is>
      </c>
      <c r="V22" s="32" t="inlineStr">
        <is>
          <t>19,2,35,32</t>
        </is>
      </c>
      <c r="W22" s="32" t="inlineStr">
        <is>
          <t>28,26,30</t>
        </is>
      </c>
      <c r="X22" s="32" t="inlineStr">
        <is>
          <t>19,35,10,38</t>
        </is>
      </c>
      <c r="Y22" s="32" t="inlineStr">
        <is>
          <t>35,10,38,19</t>
        </is>
      </c>
      <c r="Z22" s="32" t="inlineStr">
        <is>
          <t>1,35,32,6</t>
        </is>
      </c>
      <c r="AA22" s="32" t="inlineStr">
        <is>
          <t>12,35,32,26</t>
        </is>
      </c>
      <c r="AB22" s="32" t="inlineStr">
        <is>
          <t>28,35,6,22</t>
        </is>
      </c>
      <c r="AC22" s="32" t="inlineStr">
        <is>
          <t>28,35,6,18</t>
        </is>
      </c>
      <c r="AD22" s="32" t="inlineStr">
        <is>
          <t>6,19,28,24</t>
        </is>
      </c>
      <c r="AE22" s="32" t="inlineStr">
        <is>
          <t>12,22,35,24</t>
        </is>
      </c>
      <c r="AF22" s="32" t="inlineStr">
        <is>
          <t>35,24,18,5</t>
        </is>
      </c>
      <c r="AG22" s="32" t="inlineStr">
        <is>
          <t>35,38,19,18</t>
        </is>
      </c>
      <c r="AH22" s="32" t="inlineStr">
        <is>
          <t>34,23,16,18</t>
        </is>
      </c>
      <c r="AI22" s="32" t="inlineStr">
        <is>
          <t>35,37</t>
        </is>
      </c>
      <c r="AJ22" s="32" t="inlineStr">
        <is>
          <t>35,2,22,26</t>
        </is>
      </c>
      <c r="AK22" s="32" t="inlineStr">
        <is>
          <t>14,20,19,35</t>
        </is>
      </c>
      <c r="AL22" s="32" t="inlineStr">
        <is>
          <t>35,32,15,26</t>
        </is>
      </c>
      <c r="AM22" s="32" t="inlineStr">
        <is>
          <t>6,28,25</t>
        </is>
      </c>
      <c r="AN22" s="32" t="inlineStr">
        <is>
          <t>3,35,15</t>
        </is>
      </c>
      <c r="AO22" s="32" t="inlineStr">
        <is>
          <t>28,26,18,35</t>
        </is>
      </c>
    </row>
    <row r="23" ht="15.75" customHeight="1" s="104">
      <c r="B23" s="30" t="inlineStr">
        <is>
          <t>20. Use of energy by stationary object</t>
        </is>
      </c>
      <c r="C23" s="33" t="n"/>
      <c r="D23" s="32" t="inlineStr">
        <is>
          <t>19,18,36,40</t>
        </is>
      </c>
      <c r="E23" s="33" t="n"/>
      <c r="F23" s="32" t="inlineStr">
        <is>
          <t>1,26</t>
        </is>
      </c>
      <c r="G23" s="33" t="n"/>
      <c r="H23" s="33" t="n"/>
      <c r="I23" s="32" t="inlineStr">
        <is>
          <t>7,2,35</t>
        </is>
      </c>
      <c r="J23" s="32" t="inlineStr">
        <is>
          <t>35,10,19,14</t>
        </is>
      </c>
      <c r="K23" s="33" t="n"/>
      <c r="L23" s="33" t="n"/>
      <c r="M23" s="33" t="n"/>
      <c r="N23" s="32" t="inlineStr">
        <is>
          <t>15,13,39</t>
        </is>
      </c>
      <c r="O23" s="33" t="n"/>
      <c r="P23" s="33" t="n"/>
      <c r="Q23" s="33" t="n"/>
      <c r="R23" s="33" t="n"/>
      <c r="S23" s="32" t="inlineStr">
        <is>
          <t>19,32,16</t>
        </is>
      </c>
      <c r="T23" s="33" t="n"/>
      <c r="U23" s="32" t="inlineStr">
        <is>
          <t>19,2,35,32</t>
        </is>
      </c>
      <c r="V23" s="31" t="inlineStr">
        <is>
          <t>—</t>
        </is>
      </c>
      <c r="W23" s="32" t="inlineStr">
        <is>
          <t>2,35,16</t>
        </is>
      </c>
      <c r="X23" s="32" t="inlineStr">
        <is>
          <t>19,24,3,14</t>
        </is>
      </c>
      <c r="Y23" s="32" t="inlineStr">
        <is>
          <t>10,2,22,37</t>
        </is>
      </c>
      <c r="Z23" s="32" t="inlineStr">
        <is>
          <t>19,22,18</t>
        </is>
      </c>
      <c r="AA23" s="32" t="inlineStr">
        <is>
          <t>16,20,26,5</t>
        </is>
      </c>
      <c r="AB23" s="33" t="n"/>
      <c r="AC23" s="32" t="inlineStr">
        <is>
          <t>28,10,29,35</t>
        </is>
      </c>
      <c r="AD23" s="32" t="inlineStr">
        <is>
          <t>28,10,35</t>
        </is>
      </c>
      <c r="AE23" s="32" t="inlineStr">
        <is>
          <t>28,10,35,27</t>
        </is>
      </c>
      <c r="AF23" s="32" t="inlineStr">
        <is>
          <t>28,18,10,40</t>
        </is>
      </c>
      <c r="AG23" s="32" t="inlineStr">
        <is>
          <t>35,10,18,5</t>
        </is>
      </c>
      <c r="AH23" s="32" t="inlineStr">
        <is>
          <t>35,10,18</t>
        </is>
      </c>
      <c r="AI23" s="32" t="inlineStr">
        <is>
          <t>35,10,18</t>
        </is>
      </c>
      <c r="AJ23" s="32" t="inlineStr">
        <is>
          <t>4,28,10,34</t>
        </is>
      </c>
      <c r="AK23" s="32" t="inlineStr">
        <is>
          <t>12,35,26,18</t>
        </is>
      </c>
      <c r="AL23" s="32" t="inlineStr">
        <is>
          <t>12,28,35</t>
        </is>
      </c>
      <c r="AM23" s="32" t="inlineStr">
        <is>
          <t>3,6,32</t>
        </is>
      </c>
      <c r="AN23" s="32" t="inlineStr">
        <is>
          <t>19,35</t>
        </is>
      </c>
      <c r="AO23" s="32" t="inlineStr">
        <is>
          <t>1,10,26,39</t>
        </is>
      </c>
    </row>
    <row r="24" ht="15.75" customHeight="1" s="104">
      <c r="B24" s="30" t="inlineStr">
        <is>
          <t>21. Power</t>
        </is>
      </c>
      <c r="C24" s="32" t="inlineStr">
        <is>
          <t>8,36,38,31</t>
        </is>
      </c>
      <c r="D24" s="33" t="n"/>
      <c r="E24" s="32" t="inlineStr">
        <is>
          <t>19,26,17,27</t>
        </is>
      </c>
      <c r="F24" s="33" t="n"/>
      <c r="G24" s="32" t="inlineStr">
        <is>
          <t>1,10,35,37</t>
        </is>
      </c>
      <c r="H24" s="33" t="n"/>
      <c r="I24" s="32" t="inlineStr">
        <is>
          <t>19,38</t>
        </is>
      </c>
      <c r="J24" s="33" t="n"/>
      <c r="K24" s="32" t="inlineStr">
        <is>
          <t>6,18,38,40</t>
        </is>
      </c>
      <c r="L24" s="32" t="inlineStr">
        <is>
          <t>2,19,6</t>
        </is>
      </c>
      <c r="M24" s="32" t="inlineStr">
        <is>
          <t>1,10,35,37</t>
        </is>
      </c>
      <c r="N24" s="32" t="inlineStr">
        <is>
          <t>19,38</t>
        </is>
      </c>
      <c r="O24" s="32" t="inlineStr">
        <is>
          <t>17,32,13,38</t>
        </is>
      </c>
      <c r="P24" s="32" t="inlineStr">
        <is>
          <t>28,10</t>
        </is>
      </c>
      <c r="Q24" s="32" t="inlineStr">
        <is>
          <t>19,10,2,35</t>
        </is>
      </c>
      <c r="R24" s="33" t="n"/>
      <c r="S24" s="32" t="inlineStr">
        <is>
          <t>1,35,6,27</t>
        </is>
      </c>
      <c r="T24" s="32" t="inlineStr">
        <is>
          <t>32,35,27,31</t>
        </is>
      </c>
      <c r="U24" s="32" t="inlineStr">
        <is>
          <t>12,35,28,31</t>
        </is>
      </c>
      <c r="V24" s="32" t="inlineStr">
        <is>
          <t>2,35,6</t>
        </is>
      </c>
      <c r="W24" s="31" t="inlineStr">
        <is>
          <t>—</t>
        </is>
      </c>
      <c r="X24" s="32" t="inlineStr">
        <is>
          <t>19,10,19,38</t>
        </is>
      </c>
      <c r="Y24" s="32" t="inlineStr">
        <is>
          <t>7,23,1,21</t>
        </is>
      </c>
      <c r="Z24" s="32" t="inlineStr">
        <is>
          <t>35,22</t>
        </is>
      </c>
      <c r="AA24" s="32" t="inlineStr">
        <is>
          <t>10,5,18,32</t>
        </is>
      </c>
      <c r="AB24" s="32" t="inlineStr">
        <is>
          <t>10,35,40,34</t>
        </is>
      </c>
      <c r="AC24" s="32" t="inlineStr">
        <is>
          <t>10,35,14</t>
        </is>
      </c>
      <c r="AD24" s="32" t="inlineStr">
        <is>
          <t>3,35,13,21</t>
        </is>
      </c>
      <c r="AE24" s="32" t="inlineStr">
        <is>
          <t>10,28,29,37</t>
        </is>
      </c>
      <c r="AF24" s="32" t="inlineStr">
        <is>
          <t>3,18,35,37</t>
        </is>
      </c>
      <c r="AG24" s="32" t="inlineStr">
        <is>
          <t>10,13,28,38</t>
        </is>
      </c>
      <c r="AH24" s="32" t="inlineStr">
        <is>
          <t>5,11,1,23</t>
        </is>
      </c>
      <c r="AI24" s="32" t="inlineStr">
        <is>
          <t>3,13,6,22</t>
        </is>
      </c>
      <c r="AJ24" s="32" t="inlineStr">
        <is>
          <t>11,22,22,13</t>
        </is>
      </c>
      <c r="AK24" s="32" t="inlineStr">
        <is>
          <t>10,21,22</t>
        </is>
      </c>
      <c r="AL24" s="32" t="inlineStr">
        <is>
          <t>29,1,35,27</t>
        </is>
      </c>
      <c r="AM24" s="32" t="inlineStr">
        <is>
          <t>3,13,27,10</t>
        </is>
      </c>
      <c r="AN24" s="32" t="inlineStr">
        <is>
          <t>3,35,10,40</t>
        </is>
      </c>
      <c r="AO24" s="32" t="inlineStr">
        <is>
          <t>28,29,37,36</t>
        </is>
      </c>
    </row>
    <row r="25" ht="15.75" customHeight="1" s="104">
      <c r="B25" s="30" t="inlineStr">
        <is>
          <t>22. Loss of energy</t>
        </is>
      </c>
      <c r="C25" s="32" t="inlineStr">
        <is>
          <t>15,6,19,28</t>
        </is>
      </c>
      <c r="D25" s="32" t="inlineStr">
        <is>
          <t>19,6,18,9</t>
        </is>
      </c>
      <c r="E25" s="32" t="inlineStr">
        <is>
          <t>7,2,6,13</t>
        </is>
      </c>
      <c r="F25" s="33" t="n"/>
      <c r="G25" s="32" t="inlineStr">
        <is>
          <t>16,35,38</t>
        </is>
      </c>
      <c r="H25" s="33" t="n"/>
      <c r="I25" s="32" t="inlineStr">
        <is>
          <t>36,38,10,19</t>
        </is>
      </c>
      <c r="J25" s="33" t="n"/>
      <c r="K25" s="32" t="inlineStr">
        <is>
          <t>14,2,39,6</t>
        </is>
      </c>
      <c r="L25" s="32" t="inlineStr">
        <is>
          <t>26,10,28</t>
        </is>
      </c>
      <c r="M25" s="32" t="inlineStr">
        <is>
          <t>1,28,35,10</t>
        </is>
      </c>
      <c r="N25" s="32" t="inlineStr">
        <is>
          <t>2,7,17</t>
        </is>
      </c>
      <c r="O25" s="32" t="inlineStr">
        <is>
          <t>1,28,35,10</t>
        </is>
      </c>
      <c r="P25" s="32" t="inlineStr">
        <is>
          <t>3,27,28,35</t>
        </is>
      </c>
      <c r="Q25" s="32" t="inlineStr">
        <is>
          <t>35,3,22,5</t>
        </is>
      </c>
      <c r="R25" s="33" t="n"/>
      <c r="S25" s="32" t="inlineStr">
        <is>
          <t>35,38</t>
        </is>
      </c>
      <c r="T25" s="32" t="inlineStr">
        <is>
          <t>28,6,35,18</t>
        </is>
      </c>
      <c r="U25" s="32" t="inlineStr">
        <is>
          <t>28,27,18,31</t>
        </is>
      </c>
      <c r="V25" s="32" t="inlineStr">
        <is>
          <t>14,2,39,6</t>
        </is>
      </c>
      <c r="W25" s="32" t="inlineStr">
        <is>
          <t>19,10,19,38</t>
        </is>
      </c>
      <c r="X25" s="31" t="inlineStr">
        <is>
          <t>—</t>
        </is>
      </c>
      <c r="Y25" s="32" t="inlineStr">
        <is>
          <t>35,6,23,40</t>
        </is>
      </c>
      <c r="Z25" s="32" t="inlineStr">
        <is>
          <t>10,6,2,34</t>
        </is>
      </c>
      <c r="AA25" s="32" t="inlineStr">
        <is>
          <t>35,6,22,32</t>
        </is>
      </c>
      <c r="AB25" s="32" t="inlineStr">
        <is>
          <t>26,35,28,10</t>
        </is>
      </c>
      <c r="AC25" s="32" t="inlineStr">
        <is>
          <t>28,27,15,3</t>
        </is>
      </c>
      <c r="AD25" s="32" t="inlineStr">
        <is>
          <t>10,26,35</t>
        </is>
      </c>
      <c r="AE25" s="32" t="inlineStr">
        <is>
          <t>3,28,35,27</t>
        </is>
      </c>
      <c r="AF25" s="32" t="inlineStr">
        <is>
          <t>22,35,13,24</t>
        </is>
      </c>
      <c r="AG25" s="32" t="inlineStr">
        <is>
          <t>22,35,2,24</t>
        </is>
      </c>
      <c r="AH25" s="32" t="inlineStr">
        <is>
          <t>26,28,10,36</t>
        </is>
      </c>
      <c r="AI25" s="32" t="inlineStr">
        <is>
          <t>14,2,39,35</t>
        </is>
      </c>
      <c r="AJ25" s="32" t="inlineStr">
        <is>
          <t>14,2,39,35</t>
        </is>
      </c>
      <c r="AK25" s="32" t="inlineStr">
        <is>
          <t>2,14,30,40</t>
        </is>
      </c>
      <c r="AL25" s="32" t="inlineStr">
        <is>
          <t>25,28,2,16</t>
        </is>
      </c>
      <c r="AM25" s="32" t="inlineStr">
        <is>
          <t>22,21,27,35</t>
        </is>
      </c>
      <c r="AN25" s="32" t="inlineStr">
        <is>
          <t>2,33,27,18</t>
        </is>
      </c>
      <c r="AO25" s="32" t="inlineStr">
        <is>
          <t>35,28,10,2</t>
        </is>
      </c>
    </row>
    <row r="26" ht="15.75" customHeight="1" s="104">
      <c r="B26" s="30" t="inlineStr">
        <is>
          <t>23. Loss of substance</t>
        </is>
      </c>
      <c r="C26" s="32" t="inlineStr">
        <is>
          <t>35,6,23,40</t>
        </is>
      </c>
      <c r="D26" s="32" t="inlineStr">
        <is>
          <t>35,6,22,32</t>
        </is>
      </c>
      <c r="E26" s="32" t="inlineStr">
        <is>
          <t>14,29,10,39</t>
        </is>
      </c>
      <c r="F26" s="32" t="inlineStr">
        <is>
          <t>10,28,24</t>
        </is>
      </c>
      <c r="G26" s="32" t="inlineStr">
        <is>
          <t>35,2,10,31</t>
        </is>
      </c>
      <c r="H26" s="32" t="inlineStr">
        <is>
          <t>10,3,18,40</t>
        </is>
      </c>
      <c r="I26" s="32" t="inlineStr">
        <is>
          <t>35,10,18,32</t>
        </is>
      </c>
      <c r="J26" s="32" t="inlineStr">
        <is>
          <t>35,18,10,13</t>
        </is>
      </c>
      <c r="K26" s="32" t="inlineStr">
        <is>
          <t>14,15,1,16</t>
        </is>
      </c>
      <c r="L26" s="32" t="inlineStr">
        <is>
          <t>35,10,4</t>
        </is>
      </c>
      <c r="M26" s="32" t="inlineStr">
        <is>
          <t>33,28,25,10</t>
        </is>
      </c>
      <c r="N26" s="32" t="inlineStr">
        <is>
          <t>3,35,40,39</t>
        </is>
      </c>
      <c r="O26" s="32" t="inlineStr">
        <is>
          <t>10,13,28</t>
        </is>
      </c>
      <c r="P26" s="32" t="inlineStr">
        <is>
          <t>3,35,14</t>
        </is>
      </c>
      <c r="Q26" s="32" t="inlineStr">
        <is>
          <t>10,35,2,39</t>
        </is>
      </c>
      <c r="R26" s="32" t="inlineStr">
        <is>
          <t>1,6,33</t>
        </is>
      </c>
      <c r="S26" s="32" t="inlineStr">
        <is>
          <t>10,1,4</t>
        </is>
      </c>
      <c r="T26" s="32" t="inlineStr">
        <is>
          <t>28,10</t>
        </is>
      </c>
      <c r="U26" s="32" t="inlineStr">
        <is>
          <t>35,28,21,18</t>
        </is>
      </c>
      <c r="V26" s="32" t="inlineStr">
        <is>
          <t>3,18,34,27</t>
        </is>
      </c>
      <c r="W26" s="32" t="inlineStr">
        <is>
          <t>10,35,4</t>
        </is>
      </c>
      <c r="X26" s="32" t="inlineStr">
        <is>
          <t>35,16,10,18</t>
        </is>
      </c>
      <c r="Y26" s="31" t="inlineStr">
        <is>
          <t>—</t>
        </is>
      </c>
      <c r="Z26" s="32" t="inlineStr">
        <is>
          <t>15,18,35,10</t>
        </is>
      </c>
      <c r="AA26" s="32" t="inlineStr">
        <is>
          <t>6,3,10,24</t>
        </is>
      </c>
      <c r="AB26" s="32" t="inlineStr">
        <is>
          <t>10,29,39,35</t>
        </is>
      </c>
      <c r="AC26" s="32" t="inlineStr">
        <is>
          <t>10,14,35,3</t>
        </is>
      </c>
      <c r="AD26" s="32" t="inlineStr">
        <is>
          <t>3,28,35,27</t>
        </is>
      </c>
      <c r="AE26" s="32" t="inlineStr">
        <is>
          <t>3,28,10,25</t>
        </is>
      </c>
      <c r="AF26" s="32" t="inlineStr">
        <is>
          <t>35,3,15,23</t>
        </is>
      </c>
      <c r="AG26" s="32" t="inlineStr">
        <is>
          <t>35,1,32</t>
        </is>
      </c>
      <c r="AH26" s="32" t="inlineStr">
        <is>
          <t>2,35,6</t>
        </is>
      </c>
      <c r="AI26" s="32" t="inlineStr">
        <is>
          <t>28,35,15,10</t>
        </is>
      </c>
      <c r="AJ26" s="32" t="inlineStr">
        <is>
          <t>35,10,28,24</t>
        </is>
      </c>
      <c r="AK26" s="32" t="inlineStr">
        <is>
          <t>35,18,34</t>
        </is>
      </c>
      <c r="AL26" s="32" t="inlineStr">
        <is>
          <t>1,28,10,25</t>
        </is>
      </c>
      <c r="AM26" s="32" t="inlineStr">
        <is>
          <t>3,6,32</t>
        </is>
      </c>
      <c r="AN26" s="32" t="inlineStr">
        <is>
          <t>28,35,10,23</t>
        </is>
      </c>
      <c r="AO26" s="32" t="inlineStr">
        <is>
          <t>13,23,15</t>
        </is>
      </c>
    </row>
    <row r="27" ht="15.75" customHeight="1" s="104">
      <c r="B27" s="30" t="inlineStr">
        <is>
          <t>24. Loss of information</t>
        </is>
      </c>
      <c r="C27" s="33" t="n"/>
      <c r="D27" s="33" t="n"/>
      <c r="E27" s="32" t="inlineStr">
        <is>
          <t>10,28,29,35</t>
        </is>
      </c>
      <c r="F27" s="33" t="n"/>
      <c r="G27" s="32" t="inlineStr">
        <is>
          <t>14,9,13</t>
        </is>
      </c>
      <c r="H27" s="33" t="n"/>
      <c r="I27" s="32" t="inlineStr">
        <is>
          <t>26,24</t>
        </is>
      </c>
      <c r="J27" s="33" t="n"/>
      <c r="K27" s="32" t="inlineStr">
        <is>
          <t>22,26,28,32</t>
        </is>
      </c>
      <c r="L27" s="32" t="inlineStr">
        <is>
          <t>26,32</t>
        </is>
      </c>
      <c r="M27" s="32" t="inlineStr">
        <is>
          <t>10,16,31,28</t>
        </is>
      </c>
      <c r="N27" s="32" t="inlineStr">
        <is>
          <t>10,28,35,25</t>
        </is>
      </c>
      <c r="O27" s="32" t="inlineStr">
        <is>
          <t>2,22</t>
        </is>
      </c>
      <c r="P27" s="32" t="inlineStr">
        <is>
          <t>10,16,29,35</t>
        </is>
      </c>
      <c r="Q27" s="32" t="inlineStr">
        <is>
          <t>22,10,1</t>
        </is>
      </c>
      <c r="R27" s="32" t="inlineStr">
        <is>
          <t>35,24</t>
        </is>
      </c>
      <c r="S27" s="32" t="inlineStr">
        <is>
          <t>10,6,2,34</t>
        </is>
      </c>
      <c r="T27" s="32" t="inlineStr">
        <is>
          <t>26,35</t>
        </is>
      </c>
      <c r="U27" s="32" t="inlineStr">
        <is>
          <t>26,24,32</t>
        </is>
      </c>
      <c r="V27" s="32" t="inlineStr">
        <is>
          <t>28,26,10</t>
        </is>
      </c>
      <c r="W27" s="32" t="inlineStr">
        <is>
          <t>10,26,35</t>
        </is>
      </c>
      <c r="X27" s="32" t="inlineStr">
        <is>
          <t>26,35,10</t>
        </is>
      </c>
      <c r="Y27" s="32" t="inlineStr">
        <is>
          <t>10,6,2,34</t>
        </is>
      </c>
      <c r="Z27" s="31" t="inlineStr">
        <is>
          <t>—</t>
        </is>
      </c>
      <c r="AA27" s="32" t="inlineStr">
        <is>
          <t>26,24,32</t>
        </is>
      </c>
      <c r="AB27" s="32" t="inlineStr">
        <is>
          <t>10,28,35</t>
        </is>
      </c>
      <c r="AC27" s="32" t="inlineStr">
        <is>
          <t>35,18,16,15</t>
        </is>
      </c>
      <c r="AD27" s="32" t="inlineStr">
        <is>
          <t>10,35,2,39</t>
        </is>
      </c>
      <c r="AE27" s="32" t="inlineStr">
        <is>
          <t>10,28,23</t>
        </is>
      </c>
      <c r="AF27" s="32" t="inlineStr">
        <is>
          <t>10,19,2,35</t>
        </is>
      </c>
      <c r="AG27" s="32" t="inlineStr">
        <is>
          <t>19,10,3,28</t>
        </is>
      </c>
      <c r="AH27" s="32" t="inlineStr">
        <is>
          <t>28,35,10,23</t>
        </is>
      </c>
      <c r="AI27" s="32" t="inlineStr">
        <is>
          <t>15,3,32,19</t>
        </is>
      </c>
      <c r="AJ27" s="32" t="inlineStr">
        <is>
          <t>15,3,29,35</t>
        </is>
      </c>
      <c r="AK27" s="32" t="inlineStr">
        <is>
          <t>35,18,34</t>
        </is>
      </c>
      <c r="AL27" s="32" t="inlineStr">
        <is>
          <t>1,28,10</t>
        </is>
      </c>
      <c r="AM27" s="32" t="inlineStr">
        <is>
          <t>3,6,32</t>
        </is>
      </c>
      <c r="AN27" s="32" t="inlineStr">
        <is>
          <t>35,23,1,24</t>
        </is>
      </c>
      <c r="AO27" s="32" t="inlineStr">
        <is>
          <t>10,28,29,35</t>
        </is>
      </c>
    </row>
    <row r="28" ht="15.75" customHeight="1" s="104">
      <c r="B28" s="30" t="inlineStr">
        <is>
          <t>25. Loss of time</t>
        </is>
      </c>
      <c r="C28" s="32" t="inlineStr">
        <is>
          <t>10,37,36,5</t>
        </is>
      </c>
      <c r="D28" s="32" t="inlineStr">
        <is>
          <t>37,36,4</t>
        </is>
      </c>
      <c r="E28" s="32" t="inlineStr">
        <is>
          <t>4,10,34,17</t>
        </is>
      </c>
      <c r="F28" s="32" t="inlineStr">
        <is>
          <t>35,3,22,39</t>
        </is>
      </c>
      <c r="G28" s="32" t="inlineStr">
        <is>
          <t>29,26,4</t>
        </is>
      </c>
      <c r="H28" s="32" t="inlineStr">
        <is>
          <t>35,38,18,16</t>
        </is>
      </c>
      <c r="I28" s="32" t="inlineStr">
        <is>
          <t>10,30,4</t>
        </is>
      </c>
      <c r="J28" s="32" t="inlineStr">
        <is>
          <t>24,34,28,32</t>
        </is>
      </c>
      <c r="K28" s="32" t="inlineStr">
        <is>
          <t>35,38,18,16</t>
        </is>
      </c>
      <c r="L28" s="32" t="inlineStr">
        <is>
          <t>10,37,14</t>
        </is>
      </c>
      <c r="M28" s="32" t="inlineStr">
        <is>
          <t>35,22,2,24</t>
        </is>
      </c>
      <c r="N28" s="32" t="inlineStr">
        <is>
          <t>2,10,19,30</t>
        </is>
      </c>
      <c r="O28" s="32" t="inlineStr">
        <is>
          <t>35,20,10,6</t>
        </is>
      </c>
      <c r="P28" s="32" t="inlineStr">
        <is>
          <t>3,35,39,18</t>
        </is>
      </c>
      <c r="Q28" s="32" t="inlineStr">
        <is>
          <t>35,22,10,2</t>
        </is>
      </c>
      <c r="R28" s="32" t="inlineStr">
        <is>
          <t>35,28</t>
        </is>
      </c>
      <c r="S28" s="32" t="inlineStr">
        <is>
          <t>15,2,29</t>
        </is>
      </c>
      <c r="T28" s="32" t="inlineStr">
        <is>
          <t>6,13,28,1</t>
        </is>
      </c>
      <c r="U28" s="32" t="inlineStr">
        <is>
          <t>10,5,18,32</t>
        </is>
      </c>
      <c r="V28" s="32" t="inlineStr">
        <is>
          <t>35,16,32,18</t>
        </is>
      </c>
      <c r="W28" s="32" t="inlineStr">
        <is>
          <t>35,6,22,32</t>
        </is>
      </c>
      <c r="X28" s="32" t="inlineStr">
        <is>
          <t>10,37,14</t>
        </is>
      </c>
      <c r="Y28" s="32" t="inlineStr">
        <is>
          <t>6,3,10,24</t>
        </is>
      </c>
      <c r="Z28" s="32" t="inlineStr">
        <is>
          <t>26,24,32</t>
        </is>
      </c>
      <c r="AA28" s="31" t="inlineStr">
        <is>
          <t>—</t>
        </is>
      </c>
      <c r="AB28" s="32" t="inlineStr">
        <is>
          <t>35,29</t>
        </is>
      </c>
      <c r="AC28" s="32" t="inlineStr">
        <is>
          <t>10,37,36,5</t>
        </is>
      </c>
      <c r="AD28" s="32" t="inlineStr">
        <is>
          <t>4,28,10,34</t>
        </is>
      </c>
      <c r="AE28" s="32" t="inlineStr">
        <is>
          <t>4,28,10,34</t>
        </is>
      </c>
      <c r="AF28" s="32" t="inlineStr">
        <is>
          <t>32,1,10,25</t>
        </is>
      </c>
      <c r="AG28" s="32" t="inlineStr">
        <is>
          <t>35,28,34,18</t>
        </is>
      </c>
      <c r="AH28" s="32" t="inlineStr">
        <is>
          <t>10,28,4,34</t>
        </is>
      </c>
      <c r="AI28" s="32" t="inlineStr">
        <is>
          <t>35,10,2</t>
        </is>
      </c>
      <c r="AJ28" s="32" t="inlineStr">
        <is>
          <t>4,28,10,34</t>
        </is>
      </c>
      <c r="AK28" s="32" t="inlineStr">
        <is>
          <t>32,1,28,35</t>
        </is>
      </c>
      <c r="AL28" s="32" t="inlineStr">
        <is>
          <t>6,29</t>
        </is>
      </c>
      <c r="AM28" s="32" t="inlineStr">
        <is>
          <t>1,35,29,38</t>
        </is>
      </c>
      <c r="AN28" s="32" t="inlineStr">
        <is>
          <t>35,38</t>
        </is>
      </c>
      <c r="AO28" s="32" t="inlineStr">
        <is>
          <t>1,35,4,18</t>
        </is>
      </c>
    </row>
    <row r="29" ht="15.75" customHeight="1" s="104">
      <c r="B29" s="30" t="inlineStr">
        <is>
          <t>26. Amount of substance</t>
        </is>
      </c>
      <c r="C29" s="32" t="inlineStr">
        <is>
          <t>35,6,18,31</t>
        </is>
      </c>
      <c r="D29" s="33" t="n"/>
      <c r="E29" s="32" t="inlineStr">
        <is>
          <t>18,3,28,40</t>
        </is>
      </c>
      <c r="F29" s="33" t="n"/>
      <c r="G29" s="32" t="inlineStr">
        <is>
          <t>15,3,29</t>
        </is>
      </c>
      <c r="H29" s="32" t="inlineStr">
        <is>
          <t>3,13,10,28</t>
        </is>
      </c>
      <c r="I29" s="32" t="inlineStr">
        <is>
          <t>14,15,18,4</t>
        </is>
      </c>
      <c r="J29" s="32" t="inlineStr">
        <is>
          <t>3,36,37,10</t>
        </is>
      </c>
      <c r="K29" s="32" t="inlineStr">
        <is>
          <t>13,3,36,24</t>
        </is>
      </c>
      <c r="L29" s="32" t="inlineStr">
        <is>
          <t>3,35,31</t>
        </is>
      </c>
      <c r="M29" s="32" t="inlineStr">
        <is>
          <t>35,10,33,22</t>
        </is>
      </c>
      <c r="N29" s="32" t="inlineStr">
        <is>
          <t>29,1,35,27</t>
        </is>
      </c>
      <c r="O29" s="32" t="inlineStr">
        <is>
          <t>35,29,34,28</t>
        </is>
      </c>
      <c r="P29" s="32" t="inlineStr">
        <is>
          <t>35,14,3</t>
        </is>
      </c>
      <c r="Q29" s="32" t="inlineStr">
        <is>
          <t>15,2,17,40</t>
        </is>
      </c>
      <c r="R29" s="33" t="n"/>
      <c r="S29" s="32" t="inlineStr">
        <is>
          <t>35,6,13,18</t>
        </is>
      </c>
      <c r="T29" s="32" t="inlineStr">
        <is>
          <t>19,21,35,28</t>
        </is>
      </c>
      <c r="U29" s="32" t="inlineStr">
        <is>
          <t>28,35,6,22</t>
        </is>
      </c>
      <c r="V29" s="33" t="n"/>
      <c r="W29" s="32" t="inlineStr">
        <is>
          <t>35,29,34,28</t>
        </is>
      </c>
      <c r="X29" s="32" t="inlineStr">
        <is>
          <t>35,6,23</t>
        </is>
      </c>
      <c r="Y29" s="32" t="inlineStr">
        <is>
          <t>10,14,29,35</t>
        </is>
      </c>
      <c r="Z29" s="32" t="inlineStr">
        <is>
          <t>10,36,14,35</t>
        </is>
      </c>
      <c r="AA29" s="32" t="inlineStr">
        <is>
          <t>35,29</t>
        </is>
      </c>
      <c r="AB29" s="31" t="inlineStr">
        <is>
          <t>—</t>
        </is>
      </c>
      <c r="AC29" s="32" t="inlineStr">
        <is>
          <t>35,18,10,13</t>
        </is>
      </c>
      <c r="AD29" s="32" t="inlineStr">
        <is>
          <t>35,22,18,39</t>
        </is>
      </c>
      <c r="AE29" s="32" t="inlineStr">
        <is>
          <t>10,3,28,24</t>
        </is>
      </c>
      <c r="AF29" s="32" t="inlineStr">
        <is>
          <t>35,33,29,31</t>
        </is>
      </c>
      <c r="AG29" s="32" t="inlineStr">
        <is>
          <t>3,35,40,39</t>
        </is>
      </c>
      <c r="AH29" s="32" t="inlineStr">
        <is>
          <t>29,1,35,27</t>
        </is>
      </c>
      <c r="AI29" s="32" t="inlineStr">
        <is>
          <t>35,29,25,10</t>
        </is>
      </c>
      <c r="AJ29" s="32" t="inlineStr">
        <is>
          <t>10,14,35,3</t>
        </is>
      </c>
      <c r="AK29" s="32" t="inlineStr">
        <is>
          <t>3,35,10,40</t>
        </is>
      </c>
      <c r="AL29" s="32" t="inlineStr">
        <is>
          <t>29,26,4</t>
        </is>
      </c>
      <c r="AM29" s="32" t="inlineStr">
        <is>
          <t>29,30,6,13</t>
        </is>
      </c>
      <c r="AN29" s="32" t="inlineStr">
        <is>
          <t>35,38</t>
        </is>
      </c>
      <c r="AO29" s="32" t="inlineStr">
        <is>
          <t>14,1,13,16</t>
        </is>
      </c>
    </row>
    <row r="30" ht="15.75" customHeight="1" s="104">
      <c r="B30" s="30" t="inlineStr">
        <is>
          <t>27. Reliability</t>
        </is>
      </c>
      <c r="C30" s="32" t="inlineStr">
        <is>
          <t>3,8,10,40</t>
        </is>
      </c>
      <c r="D30" s="32" t="inlineStr">
        <is>
          <t>3,10,8,28</t>
        </is>
      </c>
      <c r="E30" s="32" t="inlineStr">
        <is>
          <t>15,9,14,4</t>
        </is>
      </c>
      <c r="F30" s="32" t="inlineStr">
        <is>
          <t>15,29,28,11</t>
        </is>
      </c>
      <c r="G30" s="32" t="inlineStr">
        <is>
          <t>17,10,14,16</t>
        </is>
      </c>
      <c r="H30" s="32" t="inlineStr">
        <is>
          <t>32,35,26,28</t>
        </is>
      </c>
      <c r="I30" s="32" t="inlineStr">
        <is>
          <t>3,10,14</t>
        </is>
      </c>
      <c r="J30" s="32" t="inlineStr">
        <is>
          <t>2,35,24</t>
        </is>
      </c>
      <c r="K30" s="32" t="inlineStr">
        <is>
          <t>21,35,11,28</t>
        </is>
      </c>
      <c r="L30" s="32" t="inlineStr">
        <is>
          <t>8,28,10,3</t>
        </is>
      </c>
      <c r="M30" s="32" t="inlineStr">
        <is>
          <t>10,24,35,19</t>
        </is>
      </c>
      <c r="N30" s="32" t="inlineStr">
        <is>
          <t>10,11,35</t>
        </is>
      </c>
      <c r="O30" s="32" t="inlineStr">
        <is>
          <t>10,35,29,39</t>
        </is>
      </c>
      <c r="P30" s="32" t="inlineStr">
        <is>
          <t>3,35,10,40</t>
        </is>
      </c>
      <c r="Q30" s="32" t="inlineStr">
        <is>
          <t>11,28,10,25</t>
        </is>
      </c>
      <c r="R30" s="32" t="inlineStr">
        <is>
          <t>3,35,10,40</t>
        </is>
      </c>
      <c r="S30" s="32" t="inlineStr">
        <is>
          <t>10,3,11</t>
        </is>
      </c>
      <c r="T30" s="32" t="inlineStr">
        <is>
          <t>19,32,28</t>
        </is>
      </c>
      <c r="U30" s="32" t="inlineStr">
        <is>
          <t>6,19,28,24</t>
        </is>
      </c>
      <c r="V30" s="32" t="inlineStr">
        <is>
          <t>6,19,28,24</t>
        </is>
      </c>
      <c r="W30" s="32" t="inlineStr">
        <is>
          <t>10,35,14</t>
        </is>
      </c>
      <c r="X30" s="32" t="inlineStr">
        <is>
          <t>21,28,40,3</t>
        </is>
      </c>
      <c r="Y30" s="32" t="inlineStr">
        <is>
          <t>10,13,28,35</t>
        </is>
      </c>
      <c r="Z30" s="32" t="inlineStr">
        <is>
          <t>10,35,13,8</t>
        </is>
      </c>
      <c r="AA30" s="32" t="inlineStr">
        <is>
          <t>10,28,38</t>
        </is>
      </c>
      <c r="AB30" s="32" t="inlineStr">
        <is>
          <t>10,3,11,35</t>
        </is>
      </c>
      <c r="AC30" s="31" t="inlineStr">
        <is>
          <t>—</t>
        </is>
      </c>
      <c r="AD30" s="32" t="inlineStr">
        <is>
          <t>11,27,16</t>
        </is>
      </c>
      <c r="AE30" s="32" t="inlineStr">
        <is>
          <t>28,27,15,3</t>
        </is>
      </c>
      <c r="AF30" s="32" t="inlineStr">
        <is>
          <t>35,3,22,5</t>
        </is>
      </c>
      <c r="AG30" s="32" t="inlineStr">
        <is>
          <t>11,32,13</t>
        </is>
      </c>
      <c r="AH30" s="32" t="inlineStr">
        <is>
          <t>27,35,2,40</t>
        </is>
      </c>
      <c r="AI30" s="32" t="inlineStr">
        <is>
          <t>28,6,35,18</t>
        </is>
      </c>
      <c r="AJ30" s="32" t="inlineStr">
        <is>
          <t>35,10,28,24</t>
        </is>
      </c>
      <c r="AK30" s="32" t="inlineStr">
        <is>
          <t>1,35,40,28</t>
        </is>
      </c>
      <c r="AL30" s="32" t="inlineStr">
        <is>
          <t>13,35,1</t>
        </is>
      </c>
      <c r="AM30" s="32" t="inlineStr">
        <is>
          <t>27,40,28,8</t>
        </is>
      </c>
      <c r="AN30" s="32" t="inlineStr">
        <is>
          <t>11,13,27</t>
        </is>
      </c>
      <c r="AO30" s="32" t="inlineStr">
        <is>
          <t>1,35,29,38</t>
        </is>
      </c>
    </row>
    <row r="31" ht="15.75" customHeight="1" s="104">
      <c r="B31" s="30" t="inlineStr">
        <is>
          <t>28. Measurement accuracy</t>
        </is>
      </c>
      <c r="C31" s="32" t="inlineStr">
        <is>
          <t>32,35,26,28</t>
        </is>
      </c>
      <c r="D31" s="32" t="inlineStr">
        <is>
          <t>28,35,25,26</t>
        </is>
      </c>
      <c r="E31" s="32" t="inlineStr">
        <is>
          <t>28,26,5,16</t>
        </is>
      </c>
      <c r="F31" s="32" t="inlineStr">
        <is>
          <t>32,28,3,16</t>
        </is>
      </c>
      <c r="G31" s="32" t="inlineStr">
        <is>
          <t>26,28,32,3</t>
        </is>
      </c>
      <c r="H31" s="32" t="inlineStr">
        <is>
          <t>26,28,32,3</t>
        </is>
      </c>
      <c r="I31" s="32" t="inlineStr">
        <is>
          <t>32,13,6</t>
        </is>
      </c>
      <c r="J31" s="32" t="inlineStr">
        <is>
          <t>28,13,32,24</t>
        </is>
      </c>
      <c r="K31" s="32" t="inlineStr">
        <is>
          <t>6,28,32</t>
        </is>
      </c>
      <c r="L31" s="32" t="inlineStr">
        <is>
          <t>6,28,32</t>
        </is>
      </c>
      <c r="M31" s="32" t="inlineStr">
        <is>
          <t>28,6,32</t>
        </is>
      </c>
      <c r="N31" s="32" t="inlineStr">
        <is>
          <t>6,28,32</t>
        </is>
      </c>
      <c r="O31" s="32" t="inlineStr">
        <is>
          <t>32,35,13</t>
        </is>
      </c>
      <c r="P31" s="32" t="inlineStr">
        <is>
          <t>28,6,32,26</t>
        </is>
      </c>
      <c r="Q31" s="32" t="inlineStr">
        <is>
          <t>28,6,32</t>
        </is>
      </c>
      <c r="R31" s="32" t="inlineStr">
        <is>
          <t>10,26,24</t>
        </is>
      </c>
      <c r="S31" s="32" t="inlineStr">
        <is>
          <t>32,35,26,28</t>
        </is>
      </c>
      <c r="T31" s="32" t="inlineStr">
        <is>
          <t>28,32,35,26</t>
        </is>
      </c>
      <c r="U31" s="32" t="inlineStr">
        <is>
          <t>28,32,13,18</t>
        </is>
      </c>
      <c r="V31" s="32" t="inlineStr">
        <is>
          <t>32,28,13</t>
        </is>
      </c>
      <c r="W31" s="32" t="inlineStr">
        <is>
          <t>35,28,2,24</t>
        </is>
      </c>
      <c r="X31" s="32" t="inlineStr">
        <is>
          <t>28,6,32,26</t>
        </is>
      </c>
      <c r="Y31" s="32" t="inlineStr">
        <is>
          <t>28,32,2</t>
        </is>
      </c>
      <c r="Z31" s="32" t="inlineStr">
        <is>
          <t>6,28,32</t>
        </is>
      </c>
      <c r="AA31" s="32" t="inlineStr">
        <is>
          <t>28,32,13,18</t>
        </is>
      </c>
      <c r="AB31" s="32" t="inlineStr">
        <is>
          <t>28,32,6,26</t>
        </is>
      </c>
      <c r="AC31" s="32" t="inlineStr">
        <is>
          <t>28,32,13,26</t>
        </is>
      </c>
      <c r="AD31" s="31" t="inlineStr">
        <is>
          <t>—</t>
        </is>
      </c>
      <c r="AE31" s="32" t="inlineStr">
        <is>
          <t>25,28,35,26</t>
        </is>
      </c>
      <c r="AF31" s="32" t="inlineStr">
        <is>
          <t>28,35,10,23</t>
        </is>
      </c>
      <c r="AG31" s="32" t="inlineStr">
        <is>
          <t>28,35,10,23</t>
        </is>
      </c>
      <c r="AH31" s="32" t="inlineStr">
        <is>
          <t>4,28,10,34</t>
        </is>
      </c>
      <c r="AI31" s="32" t="inlineStr">
        <is>
          <t>28,6,32,24</t>
        </is>
      </c>
      <c r="AJ31" s="32" t="inlineStr">
        <is>
          <t>32,35,26,28</t>
        </is>
      </c>
      <c r="AK31" s="32" t="inlineStr">
        <is>
          <t>28,35,10,16</t>
        </is>
      </c>
      <c r="AL31" s="32" t="inlineStr">
        <is>
          <t>6,19,28,24</t>
        </is>
      </c>
      <c r="AM31" s="32" t="inlineStr">
        <is>
          <t>1,6,13,32</t>
        </is>
      </c>
      <c r="AN31" s="32" t="inlineStr">
        <is>
          <t>28,35,15</t>
        </is>
      </c>
      <c r="AO31" s="32" t="inlineStr">
        <is>
          <t>32,13,6</t>
        </is>
      </c>
    </row>
    <row r="32" ht="15.75" customHeight="1" s="104">
      <c r="B32" s="30" t="inlineStr">
        <is>
          <t>29. Manufacturing precision</t>
        </is>
      </c>
      <c r="C32" s="32" t="inlineStr">
        <is>
          <t>28,32,13,18</t>
        </is>
      </c>
      <c r="D32" s="32" t="inlineStr">
        <is>
          <t>28,35,27,9</t>
        </is>
      </c>
      <c r="E32" s="32" t="inlineStr">
        <is>
          <t>10,28,29,37</t>
        </is>
      </c>
      <c r="F32" s="32" t="inlineStr">
        <is>
          <t>2,32,10</t>
        </is>
      </c>
      <c r="G32" s="32" t="inlineStr">
        <is>
          <t>28,33,29,32</t>
        </is>
      </c>
      <c r="H32" s="32" t="inlineStr">
        <is>
          <t>2,29,18,36</t>
        </is>
      </c>
      <c r="I32" s="32" t="inlineStr">
        <is>
          <t>32,28,3,16</t>
        </is>
      </c>
      <c r="J32" s="32" t="inlineStr">
        <is>
          <t>28,13,32,24</t>
        </is>
      </c>
      <c r="K32" s="32" t="inlineStr">
        <is>
          <t>10,28,32,25</t>
        </is>
      </c>
      <c r="L32" s="32" t="inlineStr">
        <is>
          <t>28,19,34,36</t>
        </is>
      </c>
      <c r="M32" s="32" t="inlineStr">
        <is>
          <t>3,35,40,10</t>
        </is>
      </c>
      <c r="N32" s="32" t="inlineStr">
        <is>
          <t>32,30,40</t>
        </is>
      </c>
      <c r="O32" s="32" t="inlineStr">
        <is>
          <t>30,18</t>
        </is>
      </c>
      <c r="P32" s="32" t="inlineStr">
        <is>
          <t>3,27</t>
        </is>
      </c>
      <c r="Q32" s="32" t="inlineStr">
        <is>
          <t>3,27,40</t>
        </is>
      </c>
      <c r="R32" s="33" t="n"/>
      <c r="S32" s="32" t="inlineStr">
        <is>
          <t>35,19,32,24</t>
        </is>
      </c>
      <c r="T32" s="32" t="inlineStr">
        <is>
          <t>19,35,28,26</t>
        </is>
      </c>
      <c r="U32" s="32" t="inlineStr">
        <is>
          <t>10,13,19,35</t>
        </is>
      </c>
      <c r="V32" s="32" t="inlineStr">
        <is>
          <t>35,10,25,28</t>
        </is>
      </c>
      <c r="W32" s="32" t="inlineStr">
        <is>
          <t>10,28,32</t>
        </is>
      </c>
      <c r="X32" s="32" t="inlineStr">
        <is>
          <t>11,3,10,32</t>
        </is>
      </c>
      <c r="Y32" s="32" t="inlineStr">
        <is>
          <t>3,10,25,28</t>
        </is>
      </c>
      <c r="Z32" s="32" t="inlineStr">
        <is>
          <t>10,28,23</t>
        </is>
      </c>
      <c r="AA32" s="32" t="inlineStr">
        <is>
          <t>4,28,10,34</t>
        </is>
      </c>
      <c r="AB32" s="32" t="inlineStr">
        <is>
          <t>10,3,28,24</t>
        </is>
      </c>
      <c r="AC32" s="32" t="inlineStr">
        <is>
          <t>28,27,15,3</t>
        </is>
      </c>
      <c r="AD32" s="32" t="inlineStr">
        <is>
          <t>25,28,35,26</t>
        </is>
      </c>
      <c r="AE32" s="31" t="inlineStr">
        <is>
          <t>—</t>
        </is>
      </c>
      <c r="AF32" s="32" t="inlineStr">
        <is>
          <t>35,10,2,16</t>
        </is>
      </c>
      <c r="AG32" s="32" t="inlineStr">
        <is>
          <t>35,10,25,16</t>
        </is>
      </c>
      <c r="AH32" s="32" t="inlineStr">
        <is>
          <t>2,35,10,16</t>
        </is>
      </c>
      <c r="AI32" s="32" t="inlineStr">
        <is>
          <t>35,10,25</t>
        </is>
      </c>
      <c r="AJ32" s="32" t="inlineStr">
        <is>
          <t>28,35,10</t>
        </is>
      </c>
      <c r="AK32" s="32" t="inlineStr">
        <is>
          <t>13,35,2</t>
        </is>
      </c>
      <c r="AL32" s="32" t="inlineStr">
        <is>
          <t>28,6,13</t>
        </is>
      </c>
      <c r="AM32" s="32" t="inlineStr">
        <is>
          <t>6,28,13,32</t>
        </is>
      </c>
      <c r="AN32" s="32" t="inlineStr">
        <is>
          <t>32,35,13</t>
        </is>
      </c>
      <c r="AO32" s="32" t="inlineStr">
        <is>
          <t>35,28,2,24</t>
        </is>
      </c>
    </row>
    <row r="33" ht="15.75" customHeight="1" s="104">
      <c r="B33" s="30" t="inlineStr">
        <is>
          <t>30. Object-generated harmful effects</t>
        </is>
      </c>
      <c r="C33" s="32" t="inlineStr">
        <is>
          <t>22,21,27,39</t>
        </is>
      </c>
      <c r="D33" s="32" t="inlineStr">
        <is>
          <t>2,22,13,24</t>
        </is>
      </c>
      <c r="E33" s="32" t="inlineStr">
        <is>
          <t>17,1,39,4</t>
        </is>
      </c>
      <c r="F33" s="32" t="inlineStr">
        <is>
          <t>1,18,35,36</t>
        </is>
      </c>
      <c r="G33" s="32" t="inlineStr">
        <is>
          <t>22,1,18,4</t>
        </is>
      </c>
      <c r="H33" s="32" t="inlineStr">
        <is>
          <t>27,2,39,35</t>
        </is>
      </c>
      <c r="I33" s="32" t="inlineStr">
        <is>
          <t>22,23,37,35</t>
        </is>
      </c>
      <c r="J33" s="32" t="inlineStr">
        <is>
          <t>34,39,19,27</t>
        </is>
      </c>
      <c r="K33" s="32" t="inlineStr">
        <is>
          <t>21,22,35,28</t>
        </is>
      </c>
      <c r="L33" s="32" t="inlineStr">
        <is>
          <t>10,1,34,29</t>
        </is>
      </c>
      <c r="M33" s="32" t="inlineStr">
        <is>
          <t>10,21,29,40</t>
        </is>
      </c>
      <c r="N33" s="32" t="inlineStr">
        <is>
          <t>1,22,4</t>
        </is>
      </c>
      <c r="O33" s="32" t="inlineStr">
        <is>
          <t>33,22,19,40</t>
        </is>
      </c>
      <c r="P33" s="32" t="inlineStr">
        <is>
          <t>10,1,29,35</t>
        </is>
      </c>
      <c r="Q33" s="32" t="inlineStr">
        <is>
          <t>11,29,28,27</t>
        </is>
      </c>
      <c r="R33" s="32" t="inlineStr">
        <is>
          <t>35,27,2,40</t>
        </is>
      </c>
      <c r="S33" s="32" t="inlineStr">
        <is>
          <t>35,2,40,26</t>
        </is>
      </c>
      <c r="T33" s="32" t="inlineStr">
        <is>
          <t>35,10,3,21</t>
        </is>
      </c>
      <c r="U33" s="32" t="inlineStr">
        <is>
          <t>22,10,35</t>
        </is>
      </c>
      <c r="V33" s="32" t="inlineStr">
        <is>
          <t>22,19,29,40</t>
        </is>
      </c>
      <c r="W33" s="32" t="inlineStr">
        <is>
          <t>33,3,34</t>
        </is>
      </c>
      <c r="X33" s="32" t="inlineStr">
        <is>
          <t>22,35,13,24</t>
        </is>
      </c>
      <c r="Y33" s="32" t="inlineStr">
        <is>
          <t>10,2,22,37</t>
        </is>
      </c>
      <c r="Z33" s="32" t="inlineStr">
        <is>
          <t>10,19,2,35</t>
        </is>
      </c>
      <c r="AA33" s="32" t="inlineStr">
        <is>
          <t>32,1,19</t>
        </is>
      </c>
      <c r="AB33" s="32" t="inlineStr">
        <is>
          <t>1,24,6,27</t>
        </is>
      </c>
      <c r="AC33" s="32" t="inlineStr">
        <is>
          <t>10,2,22,37</t>
        </is>
      </c>
      <c r="AD33" s="32" t="inlineStr">
        <is>
          <t>19,22,18</t>
        </is>
      </c>
      <c r="AE33" s="32" t="inlineStr">
        <is>
          <t>35,10,2,18</t>
        </is>
      </c>
      <c r="AF33" s="31" t="inlineStr">
        <is>
          <t>—</t>
        </is>
      </c>
      <c r="AG33" s="32" t="inlineStr">
        <is>
          <t>24,30,22,40</t>
        </is>
      </c>
      <c r="AH33" s="32" t="inlineStr">
        <is>
          <t>10,35,13,2</t>
        </is>
      </c>
      <c r="AI33" s="32" t="inlineStr">
        <is>
          <t>35,11,22,31</t>
        </is>
      </c>
      <c r="AJ33" s="32" t="inlineStr">
        <is>
          <t>1,35,29,2</t>
        </is>
      </c>
      <c r="AK33" s="32" t="inlineStr">
        <is>
          <t>10,30,4</t>
        </is>
      </c>
      <c r="AL33" s="32" t="inlineStr">
        <is>
          <t>14,24,10,37</t>
        </is>
      </c>
      <c r="AM33" s="32" t="inlineStr">
        <is>
          <t>35,18,27,2</t>
        </is>
      </c>
      <c r="AN33" s="32" t="inlineStr">
        <is>
          <t>1,22,35,28</t>
        </is>
      </c>
      <c r="AO33" s="32" t="inlineStr">
        <is>
          <t>10,2,13,19</t>
        </is>
      </c>
    </row>
    <row r="34" ht="15.75" customHeight="1" s="104">
      <c r="B34" s="30" t="inlineStr">
        <is>
          <t>31. Harmful side effects</t>
        </is>
      </c>
      <c r="C34" s="32" t="inlineStr">
        <is>
          <t>19,22,15,39</t>
        </is>
      </c>
      <c r="D34" s="32" t="inlineStr">
        <is>
          <t>35,22,1,39</t>
        </is>
      </c>
      <c r="E34" s="32" t="inlineStr">
        <is>
          <t>17,15,16,22</t>
        </is>
      </c>
      <c r="F34" s="32" t="inlineStr">
        <is>
          <t>17,2,18,39</t>
        </is>
      </c>
      <c r="G34" s="32" t="inlineStr">
        <is>
          <t>22,1,40</t>
        </is>
      </c>
      <c r="H34" s="32" t="inlineStr">
        <is>
          <t>17,2,40</t>
        </is>
      </c>
      <c r="I34" s="32" t="inlineStr">
        <is>
          <t>30,18,35,4</t>
        </is>
      </c>
      <c r="J34" s="32" t="inlineStr">
        <is>
          <t>35,28,3,23</t>
        </is>
      </c>
      <c r="K34" s="32" t="inlineStr">
        <is>
          <t>35,28,2,24</t>
        </is>
      </c>
      <c r="L34" s="32" t="inlineStr">
        <is>
          <t>35,28,10,40</t>
        </is>
      </c>
      <c r="M34" s="32" t="inlineStr">
        <is>
          <t>33,28,18,4</t>
        </is>
      </c>
      <c r="N34" s="32" t="inlineStr">
        <is>
          <t>22,1,18,4</t>
        </is>
      </c>
      <c r="O34" s="32" t="inlineStr">
        <is>
          <t>35,40,10,27</t>
        </is>
      </c>
      <c r="P34" s="32" t="inlineStr">
        <is>
          <t>15,35,22,2</t>
        </is>
      </c>
      <c r="Q34" s="32" t="inlineStr">
        <is>
          <t>15,22,33,31</t>
        </is>
      </c>
      <c r="R34" s="32" t="inlineStr">
        <is>
          <t>21,39,16,22</t>
        </is>
      </c>
      <c r="S34" s="32" t="inlineStr">
        <is>
          <t>22,35,18,39</t>
        </is>
      </c>
      <c r="T34" s="32" t="inlineStr">
        <is>
          <t>22,35,31,24</t>
        </is>
      </c>
      <c r="U34" s="32" t="inlineStr">
        <is>
          <t>17,1,40,33</t>
        </is>
      </c>
      <c r="V34" s="32" t="inlineStr">
        <is>
          <t>22,19,29,28</t>
        </is>
      </c>
      <c r="W34" s="32" t="inlineStr">
        <is>
          <t>33,3,34</t>
        </is>
      </c>
      <c r="X34" s="32" t="inlineStr">
        <is>
          <t>22,35,2,24</t>
        </is>
      </c>
      <c r="Y34" s="32" t="inlineStr">
        <is>
          <t>1,35,32</t>
        </is>
      </c>
      <c r="Z34" s="32" t="inlineStr">
        <is>
          <t>19,10,3,28</t>
        </is>
      </c>
      <c r="AA34" s="32" t="inlineStr">
        <is>
          <t>35,28,34,18</t>
        </is>
      </c>
      <c r="AB34" s="32" t="inlineStr">
        <is>
          <t>3,35,40,39</t>
        </is>
      </c>
      <c r="AC34" s="32" t="inlineStr">
        <is>
          <t>29,3,28,18</t>
        </is>
      </c>
      <c r="AD34" s="32" t="inlineStr">
        <is>
          <t>32,3,27,16</t>
        </is>
      </c>
      <c r="AE34" s="32" t="inlineStr">
        <is>
          <t>3,27,35</t>
        </is>
      </c>
      <c r="AF34" s="32" t="inlineStr">
        <is>
          <t>24,30,22,40</t>
        </is>
      </c>
      <c r="AG34" s="31" t="inlineStr">
        <is>
          <t>—</t>
        </is>
      </c>
      <c r="AH34" s="32" t="inlineStr">
        <is>
          <t>18,35,37,1</t>
        </is>
      </c>
      <c r="AI34" s="32" t="inlineStr">
        <is>
          <t>22,15,33,28</t>
        </is>
      </c>
      <c r="AJ34" s="32" t="inlineStr">
        <is>
          <t>17,1,40,24</t>
        </is>
      </c>
      <c r="AK34" s="32" t="inlineStr">
        <is>
          <t>22,33,35,2</t>
        </is>
      </c>
      <c r="AL34" s="32" t="inlineStr">
        <is>
          <t>1,19,32,13</t>
        </is>
      </c>
      <c r="AM34" s="32" t="inlineStr">
        <is>
          <t>1,3,10,32</t>
        </is>
      </c>
      <c r="AN34" s="32" t="inlineStr">
        <is>
          <t>1,24,6,27</t>
        </is>
      </c>
      <c r="AO34" s="32" t="inlineStr">
        <is>
          <t>10,2,22,37</t>
        </is>
      </c>
    </row>
    <row r="35" ht="15.75" customHeight="1" s="104">
      <c r="B35" s="30" t="inlineStr">
        <is>
          <t>32. Ease of manufacture</t>
        </is>
      </c>
      <c r="C35" s="32" t="inlineStr">
        <is>
          <t>28,29,15,16</t>
        </is>
      </c>
      <c r="D35" s="32" t="inlineStr">
        <is>
          <t>1,27,36,13</t>
        </is>
      </c>
      <c r="E35" s="32" t="inlineStr">
        <is>
          <t>1,10,35,37</t>
        </is>
      </c>
      <c r="F35" s="32" t="inlineStr">
        <is>
          <t>1,35,16</t>
        </is>
      </c>
      <c r="G35" s="32" t="inlineStr">
        <is>
          <t>26,17,34,10</t>
        </is>
      </c>
      <c r="H35" s="32" t="inlineStr">
        <is>
          <t>26,17,34,10</t>
        </is>
      </c>
      <c r="I35" s="32" t="inlineStr">
        <is>
          <t>24,17,13</t>
        </is>
      </c>
      <c r="J35" s="32" t="inlineStr">
        <is>
          <t>2,17,26</t>
        </is>
      </c>
      <c r="K35" s="32" t="inlineStr">
        <is>
          <t>1,32,17,26</t>
        </is>
      </c>
      <c r="L35" s="32" t="inlineStr">
        <is>
          <t>1,32,17,28</t>
        </is>
      </c>
      <c r="M35" s="32" t="inlineStr">
        <is>
          <t>4,28,10,34</t>
        </is>
      </c>
      <c r="N35" s="32" t="inlineStr">
        <is>
          <t>1,32,10,25</t>
        </is>
      </c>
      <c r="O35" s="32" t="inlineStr">
        <is>
          <t>1,35,13</t>
        </is>
      </c>
      <c r="P35" s="32" t="inlineStr">
        <is>
          <t>1,35,13</t>
        </is>
      </c>
      <c r="Q35" s="32" t="inlineStr">
        <is>
          <t>1,32,13,11</t>
        </is>
      </c>
      <c r="R35" s="32" t="inlineStr">
        <is>
          <t>34,2,28,27</t>
        </is>
      </c>
      <c r="S35" s="32" t="inlineStr">
        <is>
          <t>15,34,1,16</t>
        </is>
      </c>
      <c r="T35" s="32" t="inlineStr">
        <is>
          <t>32,24,18,16</t>
        </is>
      </c>
      <c r="U35" s="32" t="inlineStr">
        <is>
          <t>35,28,34,4</t>
        </is>
      </c>
      <c r="V35" s="32" t="inlineStr">
        <is>
          <t>32,1,10,25</t>
        </is>
      </c>
      <c r="W35" s="32" t="inlineStr">
        <is>
          <t>5,11,1,23</t>
        </is>
      </c>
      <c r="X35" s="32" t="inlineStr">
        <is>
          <t>2,13,15</t>
        </is>
      </c>
      <c r="Y35" s="32" t="inlineStr">
        <is>
          <t>35,1,11,9</t>
        </is>
      </c>
      <c r="Z35" s="32" t="inlineStr">
        <is>
          <t>28,10,9,35</t>
        </is>
      </c>
      <c r="AA35" s="32" t="inlineStr">
        <is>
          <t>10,28,4,34</t>
        </is>
      </c>
      <c r="AB35" s="32" t="inlineStr">
        <is>
          <t>29,10,27,35</t>
        </is>
      </c>
      <c r="AC35" s="32" t="inlineStr">
        <is>
          <t>35,10,28,24</t>
        </is>
      </c>
      <c r="AD35" s="32" t="inlineStr">
        <is>
          <t>4,28,10,34</t>
        </is>
      </c>
      <c r="AE35" s="32" t="inlineStr">
        <is>
          <t>35,10,28,29</t>
        </is>
      </c>
      <c r="AF35" s="32" t="inlineStr">
        <is>
          <t>10,35,13,2</t>
        </is>
      </c>
      <c r="AG35" s="32" t="inlineStr">
        <is>
          <t>10,28,35,23</t>
        </is>
      </c>
      <c r="AH35" s="31" t="inlineStr">
        <is>
          <t>—</t>
        </is>
      </c>
      <c r="AI35" s="32" t="inlineStr">
        <is>
          <t>2,35,10,16</t>
        </is>
      </c>
      <c r="AJ35" s="32" t="inlineStr">
        <is>
          <t>35,10,28,29</t>
        </is>
      </c>
      <c r="AK35" s="32" t="inlineStr">
        <is>
          <t>10,35,28,38</t>
        </is>
      </c>
      <c r="AL35" s="32" t="inlineStr">
        <is>
          <t>10,13,35,7</t>
        </is>
      </c>
      <c r="AM35" s="32" t="inlineStr">
        <is>
          <t>35,10,13,28</t>
        </is>
      </c>
      <c r="AN35" s="32" t="inlineStr">
        <is>
          <t>35,28,13,27</t>
        </is>
      </c>
      <c r="AO35" s="32" t="inlineStr">
        <is>
          <t>1,35,10,28</t>
        </is>
      </c>
    </row>
    <row r="36" ht="15.75" customHeight="1" s="104">
      <c r="B36" s="30" t="inlineStr">
        <is>
          <t>33. Ease of operation</t>
        </is>
      </c>
      <c r="C36" s="32" t="inlineStr">
        <is>
          <t>25,2,13,15</t>
        </is>
      </c>
      <c r="D36" s="32" t="inlineStr">
        <is>
          <t>6,13,1,25</t>
        </is>
      </c>
      <c r="E36" s="32" t="inlineStr">
        <is>
          <t>1,17,13,12</t>
        </is>
      </c>
      <c r="F36" s="32" t="inlineStr">
        <is>
          <t>1,17,13,16</t>
        </is>
      </c>
      <c r="G36" s="32" t="inlineStr">
        <is>
          <t>18,16,15,39</t>
        </is>
      </c>
      <c r="H36" s="32" t="inlineStr">
        <is>
          <t>1,16,35,15</t>
        </is>
      </c>
      <c r="I36" s="32" t="inlineStr">
        <is>
          <t>4,18,39,31</t>
        </is>
      </c>
      <c r="J36" s="32" t="inlineStr">
        <is>
          <t>18,13,34</t>
        </is>
      </c>
      <c r="K36" s="32" t="inlineStr">
        <is>
          <t>28,13,35</t>
        </is>
      </c>
      <c r="L36" s="32" t="inlineStr">
        <is>
          <t>2,32,12</t>
        </is>
      </c>
      <c r="M36" s="32" t="inlineStr">
        <is>
          <t>15,34,29,28</t>
        </is>
      </c>
      <c r="N36" s="32" t="inlineStr">
        <is>
          <t>32,35,30</t>
        </is>
      </c>
      <c r="O36" s="32" t="inlineStr">
        <is>
          <t>12,17,28,24</t>
        </is>
      </c>
      <c r="P36" s="32" t="inlineStr">
        <is>
          <t>15,34,33</t>
        </is>
      </c>
      <c r="Q36" s="32" t="inlineStr">
        <is>
          <t>32,24,18,16</t>
        </is>
      </c>
      <c r="R36" s="32" t="inlineStr">
        <is>
          <t>35,28,34,4</t>
        </is>
      </c>
      <c r="S36" s="32" t="inlineStr">
        <is>
          <t>2,19,13</t>
        </is>
      </c>
      <c r="T36" s="32" t="inlineStr">
        <is>
          <t>28,32,13</t>
        </is>
      </c>
      <c r="U36" s="32" t="inlineStr">
        <is>
          <t>4,28,10,34</t>
        </is>
      </c>
      <c r="V36" s="32" t="inlineStr">
        <is>
          <t>28,2,17,35</t>
        </is>
      </c>
      <c r="W36" s="32" t="inlineStr">
        <is>
          <t>2,35,13,16</t>
        </is>
      </c>
      <c r="X36" s="32" t="inlineStr">
        <is>
          <t>15,32,1,13</t>
        </is>
      </c>
      <c r="Y36" s="32" t="inlineStr">
        <is>
          <t>18,1</t>
        </is>
      </c>
      <c r="Z36" s="32" t="inlineStr">
        <is>
          <t>16,10,28,35</t>
        </is>
      </c>
      <c r="AA36" s="32" t="inlineStr">
        <is>
          <t>4,18,39,34</t>
        </is>
      </c>
      <c r="AB36" s="32" t="inlineStr">
        <is>
          <t>2,35,30,16</t>
        </is>
      </c>
      <c r="AC36" s="32" t="inlineStr">
        <is>
          <t>35,10,14</t>
        </is>
      </c>
      <c r="AD36" s="32" t="inlineStr">
        <is>
          <t>35,1,16,11</t>
        </is>
      </c>
      <c r="AE36" s="32" t="inlineStr">
        <is>
          <t>10,36,3,37</t>
        </is>
      </c>
      <c r="AF36" s="32" t="inlineStr">
        <is>
          <t>35,3,22,39</t>
        </is>
      </c>
      <c r="AG36" s="32" t="inlineStr">
        <is>
          <t>35,28,2</t>
        </is>
      </c>
      <c r="AH36" s="32" t="inlineStr">
        <is>
          <t>28,29,15,16</t>
        </is>
      </c>
      <c r="AI36" s="31" t="inlineStr">
        <is>
          <t>—</t>
        </is>
      </c>
      <c r="AJ36" s="32" t="inlineStr">
        <is>
          <t>25,2,35,11</t>
        </is>
      </c>
      <c r="AK36" s="32" t="inlineStr">
        <is>
          <t>1,35,16</t>
        </is>
      </c>
      <c r="AL36" s="32" t="inlineStr">
        <is>
          <t>15,37,18</t>
        </is>
      </c>
      <c r="AM36" s="32" t="inlineStr">
        <is>
          <t>1,28,13,27</t>
        </is>
      </c>
      <c r="AN36" s="32" t="inlineStr">
        <is>
          <t>15,1,28,16</t>
        </is>
      </c>
      <c r="AO36" s="32" t="inlineStr">
        <is>
          <t>18,10,13,34</t>
        </is>
      </c>
    </row>
    <row r="37" ht="15.75" customHeight="1" s="104">
      <c r="B37" s="30" t="inlineStr">
        <is>
          <t>34. Ease of repair</t>
        </is>
      </c>
      <c r="C37" s="32" t="inlineStr">
        <is>
          <t>2,27,35,40</t>
        </is>
      </c>
      <c r="D37" s="32" t="inlineStr">
        <is>
          <t>2,27,35,40</t>
        </is>
      </c>
      <c r="E37" s="32" t="inlineStr">
        <is>
          <t>1,28,10,25</t>
        </is>
      </c>
      <c r="F37" s="32" t="inlineStr">
        <is>
          <t>3,18,27,40</t>
        </is>
      </c>
      <c r="G37" s="32" t="inlineStr">
        <is>
          <t>15,13,32</t>
        </is>
      </c>
      <c r="H37" s="32" t="inlineStr">
        <is>
          <t>16,25</t>
        </is>
      </c>
      <c r="I37" s="32" t="inlineStr">
        <is>
          <t>25,2,35,11</t>
        </is>
      </c>
      <c r="J37" s="32" t="inlineStr">
        <is>
          <t>1,28,35,10</t>
        </is>
      </c>
      <c r="K37" s="32" t="inlineStr">
        <is>
          <t>34,9</t>
        </is>
      </c>
      <c r="L37" s="32" t="inlineStr">
        <is>
          <t>1,11,10</t>
        </is>
      </c>
      <c r="M37" s="32" t="inlineStr">
        <is>
          <t>13,35,1,11</t>
        </is>
      </c>
      <c r="N37" s="32" t="inlineStr">
        <is>
          <t>2,13,15,16</t>
        </is>
      </c>
      <c r="O37" s="32" t="inlineStr">
        <is>
          <t>27,11,3</t>
        </is>
      </c>
      <c r="P37" s="32" t="inlineStr">
        <is>
          <t>1,32,10,25</t>
        </is>
      </c>
      <c r="Q37" s="32" t="inlineStr">
        <is>
          <t>13,35,2</t>
        </is>
      </c>
      <c r="R37" s="32" t="inlineStr">
        <is>
          <t>25,10,28,1</t>
        </is>
      </c>
      <c r="S37" s="32" t="inlineStr">
        <is>
          <t>11,10,1,16</t>
        </is>
      </c>
      <c r="T37" s="32" t="inlineStr">
        <is>
          <t>11,13,1</t>
        </is>
      </c>
      <c r="U37" s="32" t="inlineStr">
        <is>
          <t>1,13,2,4</t>
        </is>
      </c>
      <c r="V37" s="32" t="inlineStr">
        <is>
          <t>2,35,13,10</t>
        </is>
      </c>
      <c r="W37" s="32" t="inlineStr">
        <is>
          <t>35,11,22,31</t>
        </is>
      </c>
      <c r="X37" s="32" t="inlineStr">
        <is>
          <t>34,9,27,40</t>
        </is>
      </c>
      <c r="Y37" s="32" t="inlineStr">
        <is>
          <t>15,10,32,2</t>
        </is>
      </c>
      <c r="Z37" s="32" t="inlineStr">
        <is>
          <t>15,1,32,19</t>
        </is>
      </c>
      <c r="AA37" s="32" t="inlineStr">
        <is>
          <t>35,28,34,18</t>
        </is>
      </c>
      <c r="AB37" s="32" t="inlineStr">
        <is>
          <t>35,10,28,29</t>
        </is>
      </c>
      <c r="AC37" s="32" t="inlineStr">
        <is>
          <t>2,35,3,25</t>
        </is>
      </c>
      <c r="AD37" s="32" t="inlineStr">
        <is>
          <t>32,28,2,24</t>
        </is>
      </c>
      <c r="AE37" s="32" t="inlineStr">
        <is>
          <t>2,35,28,26</t>
        </is>
      </c>
      <c r="AF37" s="32" t="inlineStr">
        <is>
          <t>35,28,10,6</t>
        </is>
      </c>
      <c r="AG37" s="32" t="inlineStr">
        <is>
          <t>2,10,3</t>
        </is>
      </c>
      <c r="AH37" s="32" t="inlineStr">
        <is>
          <t>35,10,28,29</t>
        </is>
      </c>
      <c r="AI37" s="32" t="inlineStr">
        <is>
          <t>25,2,35,11</t>
        </is>
      </c>
      <c r="AJ37" s="31" t="inlineStr">
        <is>
          <t>—</t>
        </is>
      </c>
      <c r="AK37" s="32" t="inlineStr">
        <is>
          <t>1,32,2,9</t>
        </is>
      </c>
      <c r="AL37" s="32" t="inlineStr">
        <is>
          <t>35,28,6</t>
        </is>
      </c>
      <c r="AM37" s="32" t="inlineStr">
        <is>
          <t>3,1,32,13</t>
        </is>
      </c>
      <c r="AN37" s="32" t="inlineStr">
        <is>
          <t>35,28,25,10</t>
        </is>
      </c>
      <c r="AO37" s="32" t="inlineStr">
        <is>
          <t>2,10,28,25</t>
        </is>
      </c>
    </row>
    <row r="38" ht="15.75" customHeight="1" s="104">
      <c r="B38" s="30" t="inlineStr">
        <is>
          <t>35. Adaptability or versatility</t>
        </is>
      </c>
      <c r="C38" s="32" t="inlineStr">
        <is>
          <t>15,35,29</t>
        </is>
      </c>
      <c r="D38" s="32" t="inlineStr">
        <is>
          <t>15,29,37,28</t>
        </is>
      </c>
      <c r="E38" s="32" t="inlineStr">
        <is>
          <t>1,35,16</t>
        </is>
      </c>
      <c r="F38" s="32" t="inlineStr">
        <is>
          <t>35,30,29,7</t>
        </is>
      </c>
      <c r="G38" s="32" t="inlineStr">
        <is>
          <t>15,16,35,28</t>
        </is>
      </c>
      <c r="H38" s="32" t="inlineStr">
        <is>
          <t>35,10,14</t>
        </is>
      </c>
      <c r="I38" s="32" t="inlineStr">
        <is>
          <t>15,37,1,8</t>
        </is>
      </c>
      <c r="J38" s="32" t="inlineStr">
        <is>
          <t>35,30,14</t>
        </is>
      </c>
      <c r="K38" s="32" t="inlineStr">
        <is>
          <t>35,28,33,18</t>
        </is>
      </c>
      <c r="L38" s="32" t="inlineStr">
        <is>
          <t>15,10,2</t>
        </is>
      </c>
      <c r="M38" s="32" t="inlineStr">
        <is>
          <t>35,10,14</t>
        </is>
      </c>
      <c r="N38" s="32" t="inlineStr">
        <is>
          <t>14,1,16,10</t>
        </is>
      </c>
      <c r="O38" s="32" t="inlineStr">
        <is>
          <t>2,35,15</t>
        </is>
      </c>
      <c r="P38" s="32" t="inlineStr">
        <is>
          <t>15,37,1,8</t>
        </is>
      </c>
      <c r="Q38" s="32" t="inlineStr">
        <is>
          <t>35,30,14,2</t>
        </is>
      </c>
      <c r="R38" s="32" t="inlineStr">
        <is>
          <t>35,10,14</t>
        </is>
      </c>
      <c r="S38" s="32" t="inlineStr">
        <is>
          <t>3,15,40,14</t>
        </is>
      </c>
      <c r="T38" s="32" t="inlineStr">
        <is>
          <t>35,28</t>
        </is>
      </c>
      <c r="U38" s="32" t="inlineStr">
        <is>
          <t>35,14,3</t>
        </is>
      </c>
      <c r="V38" s="32" t="inlineStr">
        <is>
          <t>35,14,1,16</t>
        </is>
      </c>
      <c r="W38" s="32" t="inlineStr">
        <is>
          <t>15,37,1</t>
        </is>
      </c>
      <c r="X38" s="32" t="inlineStr">
        <is>
          <t>35,14,2</t>
        </is>
      </c>
      <c r="Y38" s="32" t="inlineStr">
        <is>
          <t>14,15,1,16</t>
        </is>
      </c>
      <c r="Z38" s="32" t="inlineStr">
        <is>
          <t>35,14,18,34</t>
        </is>
      </c>
      <c r="AA38" s="32" t="inlineStr">
        <is>
          <t>35,30,14,18</t>
        </is>
      </c>
      <c r="AB38" s="32" t="inlineStr">
        <is>
          <t>35,10,21,16</t>
        </is>
      </c>
      <c r="AC38" s="32" t="inlineStr">
        <is>
          <t>35,28,21,18</t>
        </is>
      </c>
      <c r="AD38" s="32" t="inlineStr">
        <is>
          <t>35,13,8,24</t>
        </is>
      </c>
      <c r="AE38" s="32" t="inlineStr">
        <is>
          <t>35,5,1,10</t>
        </is>
      </c>
      <c r="AF38" s="32" t="inlineStr">
        <is>
          <t>35,11,32,31</t>
        </is>
      </c>
      <c r="AG38" s="32" t="inlineStr">
        <is>
          <t>35,10,28</t>
        </is>
      </c>
      <c r="AH38" s="32" t="inlineStr">
        <is>
          <t>35,10,37</t>
        </is>
      </c>
      <c r="AI38" s="32" t="inlineStr">
        <is>
          <t>1,35,16</t>
        </is>
      </c>
      <c r="AJ38" s="32" t="inlineStr">
        <is>
          <t>32,1,2,9</t>
        </is>
      </c>
      <c r="AK38" s="31" t="inlineStr">
        <is>
          <t>—</t>
        </is>
      </c>
      <c r="AL38" s="32" t="inlineStr">
        <is>
          <t>1,6,13,26</t>
        </is>
      </c>
      <c r="AM38" s="32" t="inlineStr">
        <is>
          <t>15,29,28,11</t>
        </is>
      </c>
      <c r="AN38" s="32" t="inlineStr">
        <is>
          <t>1,15,29,16</t>
        </is>
      </c>
      <c r="AO38" s="32" t="inlineStr">
        <is>
          <t>1,35,13</t>
        </is>
      </c>
    </row>
    <row r="39" ht="15.75" customHeight="1" s="104">
      <c r="B39" s="30" t="inlineStr">
        <is>
          <t>36. Device complexity</t>
        </is>
      </c>
      <c r="C39" s="32" t="inlineStr">
        <is>
          <t>26,30,34,36</t>
        </is>
      </c>
      <c r="D39" s="32" t="inlineStr">
        <is>
          <t>2,26,35,39</t>
        </is>
      </c>
      <c r="E39" s="32" t="inlineStr">
        <is>
          <t>1,19,26,24</t>
        </is>
      </c>
      <c r="F39" s="32" t="inlineStr">
        <is>
          <t>26,30,34,36</t>
        </is>
      </c>
      <c r="G39" s="32" t="inlineStr">
        <is>
          <t>2,35</t>
        </is>
      </c>
      <c r="H39" s="32" t="inlineStr">
        <is>
          <t>2,10,34,31</t>
        </is>
      </c>
      <c r="I39" s="32" t="inlineStr">
        <is>
          <t>19,30,35,2</t>
        </is>
      </c>
      <c r="J39" s="32" t="inlineStr">
        <is>
          <t>2,19,6</t>
        </is>
      </c>
      <c r="K39" s="32" t="inlineStr">
        <is>
          <t>35,39,38</t>
        </is>
      </c>
      <c r="L39" s="32" t="inlineStr">
        <is>
          <t>28,27,18,31</t>
        </is>
      </c>
      <c r="M39" s="32" t="inlineStr">
        <is>
          <t>15,10,37,28</t>
        </is>
      </c>
      <c r="N39" s="32" t="inlineStr">
        <is>
          <t>15,10,2</t>
        </is>
      </c>
      <c r="O39" s="32" t="inlineStr">
        <is>
          <t>15,10,37</t>
        </is>
      </c>
      <c r="P39" s="32" t="inlineStr">
        <is>
          <t>2,14,17,25</t>
        </is>
      </c>
      <c r="Q39" s="32" t="inlineStr">
        <is>
          <t>1,35,13</t>
        </is>
      </c>
      <c r="R39" s="32" t="inlineStr">
        <is>
          <t>35,10,28</t>
        </is>
      </c>
      <c r="S39" s="32" t="inlineStr">
        <is>
          <t>35,19,32,24</t>
        </is>
      </c>
      <c r="T39" s="32" t="inlineStr">
        <is>
          <t>32,35,27,31</t>
        </is>
      </c>
      <c r="U39" s="32" t="inlineStr">
        <is>
          <t>26,2,19,16</t>
        </is>
      </c>
      <c r="V39" s="32" t="inlineStr">
        <is>
          <t>2,19,13</t>
        </is>
      </c>
      <c r="W39" s="32" t="inlineStr">
        <is>
          <t>19,13,17,24</t>
        </is>
      </c>
      <c r="X39" s="32" t="inlineStr">
        <is>
          <t>13,29,2,4</t>
        </is>
      </c>
      <c r="Y39" s="32" t="inlineStr">
        <is>
          <t>35,22,18,39</t>
        </is>
      </c>
      <c r="Z39" s="32" t="inlineStr">
        <is>
          <t>35,10,18</t>
        </is>
      </c>
      <c r="AA39" s="32" t="inlineStr">
        <is>
          <t>1,19,26,17</t>
        </is>
      </c>
      <c r="AB39" s="32" t="inlineStr">
        <is>
          <t>1,19,26</t>
        </is>
      </c>
      <c r="AC39" s="32" t="inlineStr">
        <is>
          <t>10,26,13</t>
        </is>
      </c>
      <c r="AD39" s="32" t="inlineStr">
        <is>
          <t>19,26,24,32</t>
        </is>
      </c>
      <c r="AE39" s="32" t="inlineStr">
        <is>
          <t>10,26,32,28</t>
        </is>
      </c>
      <c r="AF39" s="32" t="inlineStr">
        <is>
          <t>1,6,29</t>
        </is>
      </c>
      <c r="AG39" s="32" t="inlineStr">
        <is>
          <t>35,26,2,4</t>
        </is>
      </c>
      <c r="AH39" s="32" t="inlineStr">
        <is>
          <t>10,16,3,28</t>
        </is>
      </c>
      <c r="AI39" s="32" t="inlineStr">
        <is>
          <t>28,1,9,26</t>
        </is>
      </c>
      <c r="AJ39" s="32" t="inlineStr">
        <is>
          <t>1,15,29,16</t>
        </is>
      </c>
      <c r="AK39" s="32" t="inlineStr">
        <is>
          <t>15,10,37,28</t>
        </is>
      </c>
      <c r="AL39" s="31" t="inlineStr">
        <is>
          <t>—</t>
        </is>
      </c>
      <c r="AM39" s="32" t="inlineStr">
        <is>
          <t>2,14,30,40</t>
        </is>
      </c>
      <c r="AN39" s="32" t="inlineStr">
        <is>
          <t>28,10,19,34</t>
        </is>
      </c>
      <c r="AO39" s="32" t="inlineStr">
        <is>
          <t>15,17,20</t>
        </is>
      </c>
    </row>
    <row r="40" ht="15.75" customHeight="1" s="104">
      <c r="B40" s="30" t="inlineStr">
        <is>
          <t>37. Difficulty of detecting and measuring</t>
        </is>
      </c>
      <c r="C40" s="32" t="inlineStr">
        <is>
          <t>28,26,18,35</t>
        </is>
      </c>
      <c r="D40" s="32" t="inlineStr">
        <is>
          <t>28,26,35,10</t>
        </is>
      </c>
      <c r="E40" s="32" t="inlineStr">
        <is>
          <t>28,26,18,35</t>
        </is>
      </c>
      <c r="F40" s="32" t="inlineStr">
        <is>
          <t>2,26,35,10</t>
        </is>
      </c>
      <c r="G40" s="32" t="inlineStr">
        <is>
          <t>2,28,10,25</t>
        </is>
      </c>
      <c r="H40" s="32" t="inlineStr">
        <is>
          <t>10,18,32,39</t>
        </is>
      </c>
      <c r="I40" s="32" t="inlineStr">
        <is>
          <t>2,6,34,14</t>
        </is>
      </c>
      <c r="J40" s="32" t="inlineStr">
        <is>
          <t>28,6,13,26</t>
        </is>
      </c>
      <c r="K40" s="32" t="inlineStr">
        <is>
          <t>35,36,37,32</t>
        </is>
      </c>
      <c r="L40" s="32" t="inlineStr">
        <is>
          <t>28,15,10,36</t>
        </is>
      </c>
      <c r="M40" s="32" t="inlineStr">
        <is>
          <t>6,35,36,37</t>
        </is>
      </c>
      <c r="N40" s="32" t="inlineStr">
        <is>
          <t>35,1,13,11</t>
        </is>
      </c>
      <c r="O40" s="32" t="inlineStr">
        <is>
          <t>2,26,10,34</t>
        </is>
      </c>
      <c r="P40" s="32" t="inlineStr">
        <is>
          <t>28,26,10,34</t>
        </is>
      </c>
      <c r="Q40" s="32" t="inlineStr">
        <is>
          <t>28,15,10,36</t>
        </is>
      </c>
      <c r="R40" s="33" t="n"/>
      <c r="S40" s="32" t="inlineStr">
        <is>
          <t>35,26,24,37</t>
        </is>
      </c>
      <c r="T40" s="32" t="inlineStr">
        <is>
          <t>28,26,10,34</t>
        </is>
      </c>
      <c r="U40" s="32" t="inlineStr">
        <is>
          <t>28,26,18,35</t>
        </is>
      </c>
      <c r="V40" s="32" t="inlineStr">
        <is>
          <t>35,26,28,10</t>
        </is>
      </c>
      <c r="W40" s="32" t="inlineStr">
        <is>
          <t>2,6,28,26</t>
        </is>
      </c>
      <c r="X40" s="32" t="inlineStr">
        <is>
          <t>35,36,37,32</t>
        </is>
      </c>
      <c r="Y40" s="32" t="inlineStr">
        <is>
          <t>6,28,35,26</t>
        </is>
      </c>
      <c r="Z40" s="32" t="inlineStr">
        <is>
          <t>3,6,5,26</t>
        </is>
      </c>
      <c r="AA40" s="32" t="inlineStr">
        <is>
          <t>35,26,24,37</t>
        </is>
      </c>
      <c r="AB40" s="32" t="inlineStr">
        <is>
          <t>35,28,34,26</t>
        </is>
      </c>
      <c r="AC40" s="32" t="inlineStr">
        <is>
          <t>28,26,10,34</t>
        </is>
      </c>
      <c r="AD40" s="32" t="inlineStr">
        <is>
          <t>1,13,32,19</t>
        </is>
      </c>
      <c r="AE40" s="32" t="inlineStr">
        <is>
          <t>1,13,32,19</t>
        </is>
      </c>
      <c r="AF40" s="32" t="inlineStr">
        <is>
          <t>35,18,10,13</t>
        </is>
      </c>
      <c r="AG40" s="32" t="inlineStr">
        <is>
          <t>35,10,18,5</t>
        </is>
      </c>
      <c r="AH40" s="32" t="inlineStr">
        <is>
          <t>35,10,13,28</t>
        </is>
      </c>
      <c r="AI40" s="32" t="inlineStr">
        <is>
          <t>35,10,18,16</t>
        </is>
      </c>
      <c r="AJ40" s="32" t="inlineStr">
        <is>
          <t>35,18,10,13</t>
        </is>
      </c>
      <c r="AK40" s="32" t="inlineStr">
        <is>
          <t>10,13,28,29</t>
        </is>
      </c>
      <c r="AL40" s="32" t="inlineStr">
        <is>
          <t>10,4,28,34</t>
        </is>
      </c>
      <c r="AM40" s="31" t="inlineStr">
        <is>
          <t>—</t>
        </is>
      </c>
      <c r="AN40" s="32" t="inlineStr">
        <is>
          <t>3,27,35,16</t>
        </is>
      </c>
      <c r="AO40" s="32" t="inlineStr">
        <is>
          <t>6,13,28,1</t>
        </is>
      </c>
    </row>
    <row r="41" ht="15.75" customHeight="1" s="104">
      <c r="B41" s="30" t="inlineStr">
        <is>
          <t>38. Extent of automation</t>
        </is>
      </c>
      <c r="C41" s="32" t="inlineStr">
        <is>
          <t>28,26,18,35</t>
        </is>
      </c>
      <c r="D41" s="32" t="inlineStr">
        <is>
          <t>28,26,35,10</t>
        </is>
      </c>
      <c r="E41" s="32" t="inlineStr">
        <is>
          <t>14,13,17,28</t>
        </is>
      </c>
      <c r="F41" s="32" t="inlineStr">
        <is>
          <t>23,14,25,12</t>
        </is>
      </c>
      <c r="G41" s="32" t="inlineStr">
        <is>
          <t>17,14,13</t>
        </is>
      </c>
      <c r="H41" s="32" t="inlineStr">
        <is>
          <t>35,13,16</t>
        </is>
      </c>
      <c r="I41" s="32" t="inlineStr">
        <is>
          <t>28,10,29,35</t>
        </is>
      </c>
      <c r="J41" s="32" t="inlineStr">
        <is>
          <t>28,13,15,19</t>
        </is>
      </c>
      <c r="K41" s="32" t="inlineStr">
        <is>
          <t>13,15,23</t>
        </is>
      </c>
      <c r="L41" s="32" t="inlineStr">
        <is>
          <t>17,26,34,10</t>
        </is>
      </c>
      <c r="M41" s="32" t="inlineStr">
        <is>
          <t>1,6,15,28</t>
        </is>
      </c>
      <c r="N41" s="32" t="inlineStr">
        <is>
          <t>1,28,15,35</t>
        </is>
      </c>
      <c r="O41" s="32" t="inlineStr">
        <is>
          <t>10,26,35,28</t>
        </is>
      </c>
      <c r="P41" s="32" t="inlineStr">
        <is>
          <t>10,35,14</t>
        </is>
      </c>
      <c r="Q41" s="32" t="inlineStr">
        <is>
          <t>28,10,35,24</t>
        </is>
      </c>
      <c r="R41" s="32" t="inlineStr">
        <is>
          <t>10,24,35,14</t>
        </is>
      </c>
      <c r="S41" s="32" t="inlineStr">
        <is>
          <t>24,28,35,30</t>
        </is>
      </c>
      <c r="T41" s="32" t="inlineStr">
        <is>
          <t>35,13,18</t>
        </is>
      </c>
      <c r="U41" s="32" t="inlineStr">
        <is>
          <t>28,29,35,10</t>
        </is>
      </c>
      <c r="V41" s="32" t="inlineStr">
        <is>
          <t>22,19,29,28</t>
        </is>
      </c>
      <c r="W41" s="32" t="inlineStr">
        <is>
          <t>35,22,18,39</t>
        </is>
      </c>
      <c r="X41" s="32" t="inlineStr">
        <is>
          <t>35,28,2,24</t>
        </is>
      </c>
      <c r="Y41" s="32" t="inlineStr">
        <is>
          <t>35,10,28,23</t>
        </is>
      </c>
      <c r="Z41" s="32" t="inlineStr">
        <is>
          <t>6,28,11,1</t>
        </is>
      </c>
      <c r="AA41" s="32" t="inlineStr">
        <is>
          <t>1,6,35,10</t>
        </is>
      </c>
      <c r="AB41" s="32" t="inlineStr">
        <is>
          <t>2,35,6</t>
        </is>
      </c>
      <c r="AC41" s="32" t="inlineStr">
        <is>
          <t>28,26,10,34</t>
        </is>
      </c>
      <c r="AD41" s="32" t="inlineStr">
        <is>
          <t>28,35,15</t>
        </is>
      </c>
      <c r="AE41" s="32" t="inlineStr">
        <is>
          <t>13,35,2</t>
        </is>
      </c>
      <c r="AF41" s="32" t="inlineStr">
        <is>
          <t>28,29,28,10</t>
        </is>
      </c>
      <c r="AG41" s="32" t="inlineStr">
        <is>
          <t>1,26,13</t>
        </is>
      </c>
      <c r="AH41" s="32" t="inlineStr">
        <is>
          <t>35,10,28,16</t>
        </is>
      </c>
      <c r="AI41" s="32" t="inlineStr">
        <is>
          <t>28,10,3,34</t>
        </is>
      </c>
      <c r="AJ41" s="32" t="inlineStr">
        <is>
          <t>28,10,2,35</t>
        </is>
      </c>
      <c r="AK41" s="32" t="inlineStr">
        <is>
          <t>35,28,10,25</t>
        </is>
      </c>
      <c r="AL41" s="32" t="inlineStr">
        <is>
          <t>35,1,10,28</t>
        </is>
      </c>
      <c r="AM41" s="32" t="inlineStr">
        <is>
          <t>1,28,13,27</t>
        </is>
      </c>
      <c r="AN41" s="31" t="inlineStr">
        <is>
          <t>—</t>
        </is>
      </c>
      <c r="AO41" s="32" t="inlineStr">
        <is>
          <t>12,28,35,26</t>
        </is>
      </c>
    </row>
    <row r="42" ht="15.75" customHeight="1" s="104">
      <c r="B42" s="30" t="inlineStr">
        <is>
          <t>39. Productivity</t>
        </is>
      </c>
      <c r="C42" s="32" t="inlineStr">
        <is>
          <t>35,26,24,37</t>
        </is>
      </c>
      <c r="D42" s="32" t="inlineStr">
        <is>
          <t>28,27,15,3</t>
        </is>
      </c>
      <c r="E42" s="32" t="inlineStr">
        <is>
          <t>18,4,28,38</t>
        </is>
      </c>
      <c r="F42" s="32" t="inlineStr">
        <is>
          <t>30,7,14,26</t>
        </is>
      </c>
      <c r="G42" s="32" t="inlineStr">
        <is>
          <t>10,26,34,31</t>
        </is>
      </c>
      <c r="H42" s="32" t="inlineStr">
        <is>
          <t>10,35,17,7</t>
        </is>
      </c>
      <c r="I42" s="32" t="inlineStr">
        <is>
          <t>2,6,34,10</t>
        </is>
      </c>
      <c r="J42" s="32" t="inlineStr">
        <is>
          <t>35,37,10,2</t>
        </is>
      </c>
      <c r="K42" s="32" t="inlineStr">
        <is>
          <t>28,15,10,36</t>
        </is>
      </c>
      <c r="L42" s="32" t="inlineStr">
        <is>
          <t>10,37,14</t>
        </is>
      </c>
      <c r="M42" s="32" t="inlineStr">
        <is>
          <t>14,10,34,40</t>
        </is>
      </c>
      <c r="N42" s="32" t="inlineStr">
        <is>
          <t>35,3,22,39</t>
        </is>
      </c>
      <c r="O42" s="32" t="inlineStr">
        <is>
          <t>29,28,10,18</t>
        </is>
      </c>
      <c r="P42" s="32" t="inlineStr">
        <is>
          <t>35,10,28,29</t>
        </is>
      </c>
      <c r="Q42" s="32" t="inlineStr">
        <is>
          <t>10,14,35,37</t>
        </is>
      </c>
      <c r="R42" s="32" t="inlineStr">
        <is>
          <t>10,14,2</t>
        </is>
      </c>
      <c r="S42" s="32" t="inlineStr">
        <is>
          <t>35,10,38,19</t>
        </is>
      </c>
      <c r="T42" s="32" t="inlineStr">
        <is>
          <t>35,17,14,19</t>
        </is>
      </c>
      <c r="U42" s="32" t="inlineStr">
        <is>
          <t>28,15,16,35</t>
        </is>
      </c>
      <c r="V42" s="32" t="inlineStr">
        <is>
          <t>1,28,15,35</t>
        </is>
      </c>
      <c r="W42" s="32" t="inlineStr">
        <is>
          <t>12,17,28,24</t>
        </is>
      </c>
      <c r="X42" s="32" t="inlineStr">
        <is>
          <t>35,18,27,2</t>
        </is>
      </c>
      <c r="Y42" s="32" t="inlineStr">
        <is>
          <t>5,12,35,26</t>
        </is>
      </c>
      <c r="Z42" s="32" t="inlineStr">
        <is>
          <t>1,35,10,38</t>
        </is>
      </c>
      <c r="AA42" s="32" t="inlineStr">
        <is>
          <t>35,20,10,6</t>
        </is>
      </c>
      <c r="AB42" s="32" t="inlineStr">
        <is>
          <t>28,35,34,4</t>
        </is>
      </c>
      <c r="AC42" s="32" t="inlineStr">
        <is>
          <t>4,35,28,10</t>
        </is>
      </c>
      <c r="AD42" s="32" t="inlineStr">
        <is>
          <t>32,1,10,25</t>
        </is>
      </c>
      <c r="AE42" s="32" t="inlineStr">
        <is>
          <t>28,2,10,25</t>
        </is>
      </c>
      <c r="AF42" s="32" t="inlineStr">
        <is>
          <t>28,10,29,35</t>
        </is>
      </c>
      <c r="AG42" s="32" t="inlineStr">
        <is>
          <t>1,35,13</t>
        </is>
      </c>
      <c r="AH42" s="32" t="inlineStr">
        <is>
          <t>1,35,28,37</t>
        </is>
      </c>
      <c r="AI42" s="32" t="inlineStr">
        <is>
          <t>12,17,28,24</t>
        </is>
      </c>
      <c r="AJ42" s="32" t="inlineStr">
        <is>
          <t>15,1,28,16</t>
        </is>
      </c>
      <c r="AK42" s="32" t="inlineStr">
        <is>
          <t>35,28,2,10</t>
        </is>
      </c>
      <c r="AL42" s="32" t="inlineStr">
        <is>
          <t>14,15,1,16</t>
        </is>
      </c>
      <c r="AM42" s="32" t="inlineStr">
        <is>
          <t>1,6,13,28</t>
        </is>
      </c>
      <c r="AN42" s="32" t="inlineStr">
        <is>
          <t>35,26,24,37</t>
        </is>
      </c>
      <c r="AO42" s="31" t="inlineStr">
        <is>
          <t>—</t>
        </is>
      </c>
    </row>
  </sheetData>
  <mergeCells count="2">
    <mergeCell ref="B2:AN2"/>
    <mergeCell ref="B1:AN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6C3483"/>
    <outlinePr summaryBelow="1" summaryRight="1"/>
    <pageSetUpPr/>
  </sheetPr>
  <dimension ref="B1:D55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3" customWidth="1" style="104" min="1" max="1"/>
    <col width="22" customWidth="1" style="104" min="2" max="2"/>
    <col width="32" customWidth="1" style="104" min="3" max="4"/>
    <col width="3" customWidth="1" style="104" min="5" max="5"/>
  </cols>
  <sheetData>
    <row r="1" ht="30" customHeight="1" s="104">
      <c r="B1" s="121" t="inlineStr">
        <is>
          <t>Physical Contradiction — Separation Principles &amp; Inventive Principles</t>
        </is>
      </c>
    </row>
    <row r="2" ht="6" customHeight="1" s="104"/>
    <row r="3" ht="25.5" customHeight="1" s="104">
      <c r="B3" s="119" t="inlineStr">
        <is>
          <t>Separate in TIME</t>
        </is>
      </c>
      <c r="C3" s="102" t="n"/>
      <c r="D3" s="102" t="n"/>
    </row>
    <row r="4" ht="18" customHeight="1" s="104">
      <c r="B4" s="123" t="inlineStr">
        <is>
          <t>One solution at one time; the opposite at another time.</t>
        </is>
      </c>
      <c r="C4" s="85" t="n"/>
      <c r="D4" s="85" t="n"/>
    </row>
    <row r="5" ht="18" customHeight="1" s="104">
      <c r="B5" s="142" t="inlineStr">
        <is>
          <t>#</t>
        </is>
      </c>
      <c r="C5" s="142" t="inlineStr">
        <is>
          <t>Principle</t>
        </is>
      </c>
      <c r="D5" s="142" t="inlineStr">
        <is>
          <t>How it resolves the physical contradiction</t>
        </is>
      </c>
    </row>
    <row r="6" ht="21.75" customHeight="1" s="104">
      <c r="B6" s="34" t="n">
        <v>1</v>
      </c>
      <c r="C6" s="35" t="inlineStr">
        <is>
          <t>Segmentation</t>
        </is>
      </c>
      <c r="D6" s="36" t="inlineStr">
        <is>
          <t>Divide object into independent parts that can behave differently at different times.</t>
        </is>
      </c>
    </row>
    <row r="7" ht="21.75" customHeight="1" s="104">
      <c r="B7" s="37" t="n">
        <v>7</v>
      </c>
      <c r="C7" s="5" t="inlineStr">
        <is>
          <t>Nested doll</t>
        </is>
      </c>
      <c r="D7" s="38" t="inlineStr">
        <is>
          <t>Place objects inside one another; unfold/collapse as needed over time.</t>
        </is>
      </c>
    </row>
    <row r="8" ht="21.75" customHeight="1" s="104">
      <c r="B8" s="34" t="n">
        <v>9</v>
      </c>
      <c r="C8" s="35" t="inlineStr">
        <is>
          <t>Prior counteraction</t>
        </is>
      </c>
      <c r="D8" s="36" t="inlineStr">
        <is>
          <t>Pre-stress components to compensate for future undesired changes.</t>
        </is>
      </c>
    </row>
    <row r="9" ht="21.75" customHeight="1" s="104">
      <c r="B9" s="37" t="n">
        <v>10</v>
      </c>
      <c r="C9" s="5" t="inlineStr">
        <is>
          <t>Prior action</t>
        </is>
      </c>
      <c r="D9" s="38" t="inlineStr">
        <is>
          <t>Perform required action in advance, or pre-arrange objects for convenient action.</t>
        </is>
      </c>
    </row>
    <row r="10" ht="21.75" customHeight="1" s="104">
      <c r="B10" s="34" t="n">
        <v>11</v>
      </c>
      <c r="C10" s="35" t="inlineStr">
        <is>
          <t>Cushion in advance</t>
        </is>
      </c>
      <c r="D10" s="36" t="inlineStr">
        <is>
          <t>Compensate for low reliability by preparing emergency means in advance.</t>
        </is>
      </c>
    </row>
    <row r="11" ht="21.75" customHeight="1" s="104">
      <c r="B11" s="37" t="n">
        <v>15</v>
      </c>
      <c r="C11" s="5" t="inlineStr">
        <is>
          <t>Dynamics</t>
        </is>
      </c>
      <c r="D11" s="38" t="inlineStr">
        <is>
          <t>Make object/environment automatically adapt at each stage of operation.</t>
        </is>
      </c>
    </row>
    <row r="12" ht="21.75" customHeight="1" s="104">
      <c r="B12" s="34" t="n">
        <v>18</v>
      </c>
      <c r="C12" s="35" t="inlineStr">
        <is>
          <t>Mechanical vibration</t>
        </is>
      </c>
      <c r="D12" s="36" t="inlineStr">
        <is>
          <t>Set object into oscillation; use piezoelectric, ultrasonic or resonance effects.</t>
        </is>
      </c>
    </row>
    <row r="13" ht="21.75" customHeight="1" s="104">
      <c r="B13" s="37" t="n">
        <v>19</v>
      </c>
      <c r="C13" s="5" t="inlineStr">
        <is>
          <t>Periodic action</t>
        </is>
      </c>
      <c r="D13" s="38" t="inlineStr">
        <is>
          <t>Replace continuous action with periodic (impulse) action; use pulses to optimize.</t>
        </is>
      </c>
    </row>
    <row r="14" ht="21.75" customHeight="1" s="104">
      <c r="B14" s="34" t="n">
        <v>21</v>
      </c>
      <c r="C14" s="35" t="inlineStr">
        <is>
          <t>Rushing through</t>
        </is>
      </c>
      <c r="D14" s="36" t="inlineStr">
        <is>
          <t>Conduct harmful/hazardous operations at very high speed to reduce exposure.</t>
        </is>
      </c>
    </row>
    <row r="15" ht="21.75" customHeight="1" s="104">
      <c r="B15" s="37" t="n">
        <v>34</v>
      </c>
      <c r="C15" s="5" t="inlineStr">
        <is>
          <t>Discarding &amp; recovering</t>
        </is>
      </c>
      <c r="D15" s="38" t="inlineStr">
        <is>
          <t>After completing function, discard or restore elements directly during operation.</t>
        </is>
      </c>
    </row>
    <row r="16" ht="6" customHeight="1" s="104"/>
    <row r="17" ht="25.5" customHeight="1" s="104">
      <c r="B17" s="124" t="inlineStr">
        <is>
          <t>Separate in SPACE</t>
        </is>
      </c>
      <c r="C17" s="102" t="n"/>
      <c r="D17" s="102" t="n"/>
    </row>
    <row r="18" ht="18" customHeight="1" s="104">
      <c r="B18" s="123" t="inlineStr">
        <is>
          <t>One solution in one place; the opposite solution in another place.</t>
        </is>
      </c>
      <c r="C18" s="85" t="n"/>
      <c r="D18" s="85" t="n"/>
    </row>
    <row r="19" ht="18" customHeight="1" s="104">
      <c r="B19" s="142" t="inlineStr">
        <is>
          <t>#</t>
        </is>
      </c>
      <c r="C19" s="142" t="inlineStr">
        <is>
          <t>Principle</t>
        </is>
      </c>
      <c r="D19" s="142" t="inlineStr">
        <is>
          <t>How it resolves the physical contradiction</t>
        </is>
      </c>
    </row>
    <row r="20" ht="21.75" customHeight="1" s="104">
      <c r="B20" s="34" t="n">
        <v>1</v>
      </c>
      <c r="C20" s="35" t="inlineStr">
        <is>
          <t>Segmentation</t>
        </is>
      </c>
      <c r="D20" s="36" t="inlineStr">
        <is>
          <t>Divide object into independent parts located in different spatial zones.</t>
        </is>
      </c>
    </row>
    <row r="21" ht="21.75" customHeight="1" s="104">
      <c r="B21" s="37" t="n">
        <v>2</v>
      </c>
      <c r="C21" s="5" t="inlineStr">
        <is>
          <t>Taking out</t>
        </is>
      </c>
      <c r="D21" s="38" t="inlineStr">
        <is>
          <t>Separate interfering part or property from object; extract only what is needed.</t>
        </is>
      </c>
    </row>
    <row r="22" ht="21.75" customHeight="1" s="104">
      <c r="B22" s="34" t="n">
        <v>3</v>
      </c>
      <c r="C22" s="35" t="inlineStr">
        <is>
          <t>Local quality</t>
        </is>
      </c>
      <c r="D22" s="36" t="inlineStr">
        <is>
          <t>Change object/environment from homogeneous to heterogeneous; vary properties by zone.</t>
        </is>
      </c>
    </row>
    <row r="23" ht="21.75" customHeight="1" s="104">
      <c r="B23" s="37" t="n">
        <v>4</v>
      </c>
      <c r="C23" s="5" t="inlineStr">
        <is>
          <t>Asymmetry</t>
        </is>
      </c>
      <c r="D23" s="38" t="inlineStr">
        <is>
          <t>Introduce asymmetry if object is symmetrical; use existing asymmetry to advantage.</t>
        </is>
      </c>
    </row>
    <row r="24" ht="21.75" customHeight="1" s="104">
      <c r="B24" s="34" t="n">
        <v>7</v>
      </c>
      <c r="C24" s="35" t="inlineStr">
        <is>
          <t>Nested doll</t>
        </is>
      </c>
      <c r="D24" s="36" t="inlineStr">
        <is>
          <t>Place objects inside one another; contain multiple objects in the same location.</t>
        </is>
      </c>
    </row>
    <row r="25" ht="21.75" customHeight="1" s="104">
      <c r="B25" s="37" t="n">
        <v>13</v>
      </c>
      <c r="C25" s="5" t="inlineStr">
        <is>
          <t>The other way round</t>
        </is>
      </c>
      <c r="D25" s="38" t="inlineStr">
        <is>
          <t>Invert the action; make moving parts fixed and fixed parts movable.</t>
        </is>
      </c>
    </row>
    <row r="26" ht="21.75" customHeight="1" s="104">
      <c r="B26" s="34" t="n">
        <v>14</v>
      </c>
      <c r="C26" s="35" t="inlineStr">
        <is>
          <t>Spheroidality/Curvature</t>
        </is>
      </c>
      <c r="D26" s="36" t="inlineStr">
        <is>
          <t>Replace linear parts with curved; use spirals, helices, or spheres.</t>
        </is>
      </c>
    </row>
    <row r="27" ht="21.75" customHeight="1" s="104">
      <c r="B27" s="37" t="n">
        <v>17</v>
      </c>
      <c r="C27" s="5" t="inlineStr">
        <is>
          <t>Another dimension</t>
        </is>
      </c>
      <c r="D27" s="38" t="inlineStr">
        <is>
          <t>Move object into two- or three-dimensional space; use multi-layered arrangement.</t>
        </is>
      </c>
    </row>
    <row r="28" ht="21.75" customHeight="1" s="104">
      <c r="B28" s="34" t="n">
        <v>24</v>
      </c>
      <c r="C28" s="35" t="inlineStr">
        <is>
          <t>Intermediary</t>
        </is>
      </c>
      <c r="D28" s="36" t="inlineStr">
        <is>
          <t>Use an intermediate object to carry, transmit or buffer between two zones.</t>
        </is>
      </c>
    </row>
    <row r="29" ht="21.75" customHeight="1" s="104">
      <c r="B29" s="37" t="n">
        <v>30</v>
      </c>
      <c r="C29" s="5" t="inlineStr">
        <is>
          <t>Flexible membranes &amp; films</t>
        </is>
      </c>
      <c r="D29" s="38" t="inlineStr">
        <is>
          <t>Use flexible shells and thin films instead of rigid structures to separate zones.</t>
        </is>
      </c>
    </row>
    <row r="30" ht="6" customHeight="1" s="104"/>
    <row r="31" ht="25.5" customHeight="1" s="104">
      <c r="B31" s="120" t="inlineStr">
        <is>
          <t>Separate on CONDITION</t>
        </is>
      </c>
      <c r="C31" s="102" t="n"/>
      <c r="D31" s="102" t="n"/>
    </row>
    <row r="32" ht="18" customHeight="1" s="104">
      <c r="B32" s="122" t="inlineStr">
        <is>
          <t>Opposite solutions in the same place and time — one for each condition.</t>
        </is>
      </c>
      <c r="C32" s="85" t="n"/>
      <c r="D32" s="85" t="n"/>
    </row>
    <row r="33" ht="18" customHeight="1" s="104">
      <c r="B33" s="142" t="inlineStr">
        <is>
          <t>#</t>
        </is>
      </c>
      <c r="C33" s="142" t="inlineStr">
        <is>
          <t>Principle</t>
        </is>
      </c>
      <c r="D33" s="142" t="inlineStr">
        <is>
          <t>How it resolves the physical contradiction</t>
        </is>
      </c>
    </row>
    <row r="34" ht="21.75" customHeight="1" s="104">
      <c r="B34" s="34" t="n">
        <v>28</v>
      </c>
      <c r="C34" s="35" t="inlineStr">
        <is>
          <t>Replace mechanical system</t>
        </is>
      </c>
      <c r="D34" s="36" t="inlineStr">
        <is>
          <t>Replace mechanical system with optical, acoustic, thermal or olfactory system.</t>
        </is>
      </c>
    </row>
    <row r="35" ht="21.75" customHeight="1" s="104">
      <c r="B35" s="39" t="n">
        <v>29</v>
      </c>
      <c r="C35" s="40" t="inlineStr">
        <is>
          <t>Pneumatics &amp; hydraulics</t>
        </is>
      </c>
      <c r="D35" s="41" t="inlineStr">
        <is>
          <t>Use gas or liquid parts instead of solid; inflatable, hydrostatic structures.</t>
        </is>
      </c>
    </row>
    <row r="36" ht="21.75" customHeight="1" s="104">
      <c r="B36" s="34" t="n">
        <v>31</v>
      </c>
      <c r="C36" s="35" t="inlineStr">
        <is>
          <t>Porous materials</t>
        </is>
      </c>
      <c r="D36" s="36" t="inlineStr">
        <is>
          <t>Make object porous; use porous insert; if porous, fill pores with useful substance.</t>
        </is>
      </c>
    </row>
    <row r="37" ht="21.75" customHeight="1" s="104">
      <c r="B37" s="39" t="n">
        <v>32</v>
      </c>
      <c r="C37" s="40" t="inlineStr">
        <is>
          <t>Colour changes</t>
        </is>
      </c>
      <c r="D37" s="41" t="inlineStr">
        <is>
          <t>Change colour of object or environment; change transparency; use luminescent traces.</t>
        </is>
      </c>
    </row>
    <row r="38" ht="21.75" customHeight="1" s="104">
      <c r="B38" s="34" t="n">
        <v>35</v>
      </c>
      <c r="C38" s="35" t="inlineStr">
        <is>
          <t>Parameter change</t>
        </is>
      </c>
      <c r="D38" s="36" t="inlineStr">
        <is>
          <t>Change physical state, concentration, flexibility, temperature, or other parameters.</t>
        </is>
      </c>
    </row>
    <row r="39" ht="21.75" customHeight="1" s="104">
      <c r="B39" s="39" t="n">
        <v>36</v>
      </c>
      <c r="C39" s="40" t="inlineStr">
        <is>
          <t>Phase transition</t>
        </is>
      </c>
      <c r="D39" s="41" t="inlineStr">
        <is>
          <t>Implement effects occurring during phase transitions (volume changes, heat absorption).</t>
        </is>
      </c>
    </row>
    <row r="40" ht="21.75" customHeight="1" s="104">
      <c r="B40" s="34" t="n">
        <v>38</v>
      </c>
      <c r="C40" s="35" t="inlineStr">
        <is>
          <t>Accelerated oxidation</t>
        </is>
      </c>
      <c r="D40" s="36" t="inlineStr">
        <is>
          <t>Replace ordinary air with enriched or pure oxygen; use ozone or ozonized oxygen.</t>
        </is>
      </c>
    </row>
    <row r="41" ht="21.75" customHeight="1" s="104">
      <c r="B41" s="39" t="n">
        <v>39</v>
      </c>
      <c r="C41" s="40" t="inlineStr">
        <is>
          <t>Inert atmosphere</t>
        </is>
      </c>
      <c r="D41" s="41" t="inlineStr">
        <is>
          <t>Replace normal environment with inert one; carry out processes in vacuum.</t>
        </is>
      </c>
    </row>
    <row r="42" ht="6" customHeight="1" s="104"/>
    <row r="43" ht="25.5" customHeight="1" s="104">
      <c r="B43" s="126" t="inlineStr">
        <is>
          <t>Separate by SYSTEM</t>
        </is>
      </c>
      <c r="C43" s="102" t="n"/>
      <c r="D43" s="102" t="n"/>
    </row>
    <row r="44" ht="18" customHeight="1" s="104">
      <c r="B44" s="125" t="inlineStr">
        <is>
          <t>Separate by scale — sub-system, super-system, or switch to another system.</t>
        </is>
      </c>
      <c r="C44" s="85" t="n"/>
      <c r="D44" s="85" t="n"/>
    </row>
    <row r="45" ht="18" customHeight="1" s="104">
      <c r="B45" s="142" t="inlineStr">
        <is>
          <t>#</t>
        </is>
      </c>
      <c r="C45" s="142" t="inlineStr">
        <is>
          <t>Principle</t>
        </is>
      </c>
      <c r="D45" s="142" t="inlineStr">
        <is>
          <t>How it resolves the physical contradiction</t>
        </is>
      </c>
    </row>
    <row r="46" ht="21.75" customHeight="1" s="104">
      <c r="B46" s="34" t="n">
        <v>1</v>
      </c>
      <c r="C46" s="35" t="inlineStr">
        <is>
          <t>Segmentation</t>
        </is>
      </c>
      <c r="D46" s="36" t="inlineStr">
        <is>
          <t>At sub-system level, divide components further into finer elements.</t>
        </is>
      </c>
    </row>
    <row r="47" ht="21.75" customHeight="1" s="104">
      <c r="B47" s="42" t="n">
        <v>3</v>
      </c>
      <c r="C47" s="43" t="inlineStr">
        <is>
          <t>Local quality</t>
        </is>
      </c>
      <c r="D47" s="44" t="inlineStr">
        <is>
          <t>Vary properties within sub-systems or between system and super-system.</t>
        </is>
      </c>
    </row>
    <row r="48" ht="21.75" customHeight="1" s="104">
      <c r="B48" s="34" t="n">
        <v>5</v>
      </c>
      <c r="C48" s="35" t="inlineStr">
        <is>
          <t>Merging</t>
        </is>
      </c>
      <c r="D48" s="36" t="inlineStr">
        <is>
          <t>Bring closer in space; assemble identical or related operations; merge in time.</t>
        </is>
      </c>
    </row>
    <row r="49" ht="21.75" customHeight="1" s="104">
      <c r="B49" s="42" t="n">
        <v>6</v>
      </c>
      <c r="C49" s="43" t="inlineStr">
        <is>
          <t>Universality</t>
        </is>
      </c>
      <c r="D49" s="44" t="inlineStr">
        <is>
          <t>Make part perform multiple functions; eliminate need for other parts.</t>
        </is>
      </c>
    </row>
    <row r="50" ht="21.75" customHeight="1" s="104">
      <c r="B50" s="34" t="n">
        <v>8</v>
      </c>
      <c r="C50" s="35" t="inlineStr">
        <is>
          <t>Anti-weight</t>
        </is>
      </c>
      <c r="D50" s="36" t="inlineStr">
        <is>
          <t>Compensate for weight by merging with another object that has lifting force.</t>
        </is>
      </c>
    </row>
    <row r="51" ht="21.75" customHeight="1" s="104">
      <c r="B51" s="42" t="n">
        <v>13</v>
      </c>
      <c r="C51" s="43" t="inlineStr">
        <is>
          <t>The other way round</t>
        </is>
      </c>
      <c r="D51" s="44" t="inlineStr">
        <is>
          <t>Invert the system or switch to the inverse/complementary system.</t>
        </is>
      </c>
    </row>
    <row r="52" ht="21.75" customHeight="1" s="104">
      <c r="B52" s="34" t="n">
        <v>22</v>
      </c>
      <c r="C52" s="35" t="inlineStr">
        <is>
          <t>Blessing in disguise</t>
        </is>
      </c>
      <c r="D52" s="36" t="inlineStr">
        <is>
          <t>Use harmful factors to obtain positive effects at super-system level.</t>
        </is>
      </c>
    </row>
    <row r="53" ht="21.75" customHeight="1" s="104">
      <c r="B53" s="42" t="n">
        <v>25</v>
      </c>
      <c r="C53" s="43" t="inlineStr">
        <is>
          <t>Self-service</t>
        </is>
      </c>
      <c r="D53" s="44" t="inlineStr">
        <is>
          <t>Make object serve itself; use waste resources, energy, or substances.</t>
        </is>
      </c>
    </row>
    <row r="54" ht="21.75" customHeight="1" s="104">
      <c r="B54" s="34" t="n">
        <v>27</v>
      </c>
      <c r="C54" s="35" t="inlineStr">
        <is>
          <t>Cheap short-living</t>
        </is>
      </c>
      <c r="D54" s="36" t="inlineStr">
        <is>
          <t>Replace expensive durable object with cheaper short-lived ones at sub-system level.</t>
        </is>
      </c>
    </row>
    <row r="55" ht="21.75" customHeight="1" s="104">
      <c r="B55" s="42" t="n">
        <v>40</v>
      </c>
      <c r="C55" s="43" t="inlineStr">
        <is>
          <t>Composite materials</t>
        </is>
      </c>
      <c r="D55" s="44" t="inlineStr">
        <is>
          <t>Transition from homogeneous to composite materials at sub-system level.</t>
        </is>
      </c>
    </row>
  </sheetData>
  <mergeCells count="9">
    <mergeCell ref="B3:D3"/>
    <mergeCell ref="B31:D31"/>
    <mergeCell ref="B1:D1"/>
    <mergeCell ref="B32:D32"/>
    <mergeCell ref="B4:D4"/>
    <mergeCell ref="B17:D17"/>
    <mergeCell ref="B18:D18"/>
    <mergeCell ref="B44:D44"/>
    <mergeCell ref="B43:D43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F39C12"/>
    <outlinePr summaryBelow="1" summaryRight="1"/>
    <pageSetUpPr/>
  </sheetPr>
  <dimension ref="B1:D19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3" customWidth="1" style="104" min="1" max="1"/>
    <col width="30" customWidth="1" style="104" min="2" max="3"/>
    <col width="40" customWidth="1" style="104" min="4" max="4"/>
    <col width="3" customWidth="1" style="104" min="5" max="5"/>
  </cols>
  <sheetData>
    <row r="1" ht="30" customHeight="1" s="104">
      <c r="B1" s="127" t="inlineStr">
        <is>
          <t>Technical Contradiction — Common Parameter Pairs &amp; Recommended Principles</t>
        </is>
      </c>
    </row>
    <row r="2" ht="15" customHeight="1" s="104">
      <c r="B2" s="6" t="inlineStr">
        <is>
          <t>Parameter to IMPROVE</t>
        </is>
      </c>
      <c r="C2" s="8" t="inlineStr">
        <is>
          <t>Parameter that WORSENS</t>
        </is>
      </c>
      <c r="D2" s="20" t="inlineStr">
        <is>
          <t>Recommended TRIZ Principles</t>
        </is>
      </c>
    </row>
    <row r="3" ht="21.75" customHeight="1" s="104">
      <c r="B3" s="4" t="inlineStr">
        <is>
          <t>Strength / Force</t>
        </is>
      </c>
      <c r="C3" s="4" t="inlineStr">
        <is>
          <t>Weight / Mass</t>
        </is>
      </c>
      <c r="D3" s="45" t="inlineStr">
        <is>
          <t>1, 8, 15, 40 — Segmentation, Anti-weight, Dynamics, Composites</t>
        </is>
      </c>
    </row>
    <row r="4" ht="21.75" customHeight="1" s="104">
      <c r="B4" s="46" t="inlineStr">
        <is>
          <t>Speed</t>
        </is>
      </c>
      <c r="C4" s="46" t="inlineStr">
        <is>
          <t>Energy use</t>
        </is>
      </c>
      <c r="D4" s="45" t="inlineStr">
        <is>
          <t>10, 13, 28, 38 — Prior action, Other way round, Replace mech., Oxidation</t>
        </is>
      </c>
    </row>
    <row r="5" ht="21.75" customHeight="1" s="104">
      <c r="B5" s="4" t="inlineStr">
        <is>
          <t>Reliability</t>
        </is>
      </c>
      <c r="C5" s="4" t="inlineStr">
        <is>
          <t>Complexity</t>
        </is>
      </c>
      <c r="D5" s="45" t="inlineStr">
        <is>
          <t>1, 11, 27, 35 — Segmentation, Cushion in advance, Cheap objects, Param. change</t>
        </is>
      </c>
    </row>
    <row r="6" ht="21.75" customHeight="1" s="104">
      <c r="B6" s="46" t="inlineStr">
        <is>
          <t>Productivity / Throughput</t>
        </is>
      </c>
      <c r="C6" s="46" t="inlineStr">
        <is>
          <t>Device complexity</t>
        </is>
      </c>
      <c r="D6" s="45" t="inlineStr">
        <is>
          <t>5, 10, 15, 34 — Merging, Prior action, Dynamics, Discarding &amp; recovering</t>
        </is>
      </c>
    </row>
    <row r="7" ht="21.75" customHeight="1" s="104">
      <c r="B7" s="4" t="inlineStr">
        <is>
          <t>Accuracy / Precision</t>
        </is>
      </c>
      <c r="C7" s="4" t="inlineStr">
        <is>
          <t>Time / Speed of operation</t>
        </is>
      </c>
      <c r="D7" s="45" t="inlineStr">
        <is>
          <t>10, 28, 32, 35 — Prior action, Replace mech., Colour changes, Param. change</t>
        </is>
      </c>
    </row>
    <row r="8" ht="21.75" customHeight="1" s="104">
      <c r="B8" s="46" t="inlineStr">
        <is>
          <t>Thermal conductivity</t>
        </is>
      </c>
      <c r="C8" s="46" t="inlineStr">
        <is>
          <t>Weight / Mass</t>
        </is>
      </c>
      <c r="D8" s="45" t="inlineStr">
        <is>
          <t>3, 15, 30, 40 — Local quality, Dynamics, Flexible membranes, Composites</t>
        </is>
      </c>
    </row>
    <row r="9" ht="21.75" customHeight="1" s="104">
      <c r="B9" s="4" t="inlineStr">
        <is>
          <t>Adaptability</t>
        </is>
      </c>
      <c r="C9" s="4" t="inlineStr">
        <is>
          <t>Device stability</t>
        </is>
      </c>
      <c r="D9" s="45" t="inlineStr">
        <is>
          <t>1, 15, 29, 35 — Segmentation, Dynamics, Pneumatics, Param. change</t>
        </is>
      </c>
    </row>
    <row r="10" ht="21.75" customHeight="1" s="104">
      <c r="B10" s="46" t="inlineStr">
        <is>
          <t>Manufacturability</t>
        </is>
      </c>
      <c r="C10" s="46" t="inlineStr">
        <is>
          <t>Accuracy</t>
        </is>
      </c>
      <c r="D10" s="45" t="inlineStr">
        <is>
          <t>10, 28, 32, 35 — Prior action, Replace mech., Colour changes, Param. change</t>
        </is>
      </c>
    </row>
    <row r="11" ht="21.75" customHeight="1" s="104">
      <c r="B11" s="4" t="inlineStr">
        <is>
          <t>Power / Energy</t>
        </is>
      </c>
      <c r="C11" s="4" t="inlineStr">
        <is>
          <t>Temperature</t>
        </is>
      </c>
      <c r="D11" s="45" t="inlineStr">
        <is>
          <t>12, 18, 28, 35 — Equipotentiality, Vibration, Replace mech., Param. change</t>
        </is>
      </c>
    </row>
    <row r="12" ht="21.75" customHeight="1" s="104">
      <c r="B12" s="46" t="inlineStr">
        <is>
          <t>Volume / Capacity</t>
        </is>
      </c>
      <c r="C12" s="46" t="inlineStr">
        <is>
          <t>Weight</t>
        </is>
      </c>
      <c r="D12" s="45" t="inlineStr">
        <is>
          <t>1, 7, 17, 40 — Segmentation, Nested doll, Another dimension, Composites</t>
        </is>
      </c>
    </row>
    <row r="13" ht="21.75" customHeight="1" s="104">
      <c r="B13" s="4" t="inlineStr">
        <is>
          <t>Strength</t>
        </is>
      </c>
      <c r="C13" s="4" t="inlineStr">
        <is>
          <t>Stress on object</t>
        </is>
      </c>
      <c r="D13" s="45" t="inlineStr">
        <is>
          <t>1, 8, 15, 35 — Segmentation, Anti-weight, Dynamics, Param. change</t>
        </is>
      </c>
    </row>
    <row r="14" ht="21.75" customHeight="1" s="104">
      <c r="B14" s="46" t="inlineStr">
        <is>
          <t>CTE compatibility</t>
        </is>
      </c>
      <c r="C14" s="46" t="inlineStr">
        <is>
          <t>Thermal conductivity</t>
        </is>
      </c>
      <c r="D14" s="45" t="inlineStr">
        <is>
          <t>3, 5, 15, 40 — Local quality, Merging, Dynamics, Composites</t>
        </is>
      </c>
    </row>
    <row r="15" ht="21.75" customHeight="1" s="104">
      <c r="B15" s="4" t="inlineStr">
        <is>
          <t>Surface quality</t>
        </is>
      </c>
      <c r="C15" s="4" t="inlineStr">
        <is>
          <t>Process time</t>
        </is>
      </c>
      <c r="D15" s="45" t="inlineStr">
        <is>
          <t>10, 28, 32, 35 — Prior action, Replace mech., Colour changes, Param. change</t>
        </is>
      </c>
    </row>
    <row r="16" ht="21.75" customHeight="1" s="104">
      <c r="B16" s="46" t="inlineStr">
        <is>
          <t>Durability / Reliability</t>
        </is>
      </c>
      <c r="C16" s="46" t="inlineStr">
        <is>
          <t>Ease of manufacture</t>
        </is>
      </c>
      <c r="D16" s="45" t="inlineStr">
        <is>
          <t>11, 27, 35, 40 — Cushion in advance, Cheap objects, Param. change, Composites</t>
        </is>
      </c>
    </row>
    <row r="17" ht="21.75" customHeight="1" s="104">
      <c r="B17" s="4" t="inlineStr">
        <is>
          <t>Information density</t>
        </is>
      </c>
      <c r="C17" s="4" t="inlineStr">
        <is>
          <t>Device complexity</t>
        </is>
      </c>
      <c r="D17" s="45" t="inlineStr">
        <is>
          <t>1, 5, 26, 33 — Segmentation, Merging, Copying, Homogeneity</t>
        </is>
      </c>
    </row>
    <row r="19" ht="30" customHeight="1" s="104">
      <c r="B19" s="128" t="inlineStr">
        <is>
          <t>Note: For the full 39×39 Altshuller contradiction matrix, use the principle numbers above to look up full definitions in the Appendix sheet.</t>
        </is>
      </c>
      <c r="C19" s="109" t="n"/>
      <c r="D19" s="109" t="n"/>
    </row>
  </sheetData>
  <mergeCells count="2">
    <mergeCell ref="B1:D1"/>
    <mergeCell ref="B19:D19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1E8449"/>
    <outlinePr summaryBelow="1" summaryRight="1"/>
    <pageSetUpPr/>
  </sheetPr>
  <dimension ref="B1:I21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3" customWidth="1" style="104" min="1" max="1"/>
    <col width="8" customWidth="1" style="104" min="2" max="2"/>
    <col width="24" customWidth="1" style="104" min="3" max="3"/>
    <col width="15" customWidth="1" style="104" min="4" max="7"/>
    <col width="16" customWidth="1" style="104" min="8" max="8"/>
    <col width="28" customWidth="1" style="104" min="9" max="9"/>
    <col width="3" customWidth="1" style="104" min="10" max="10"/>
  </cols>
  <sheetData>
    <row r="1" ht="27.75" customHeight="1" s="104">
      <c r="B1" s="130" t="inlineStr">
        <is>
          <t>Principle Scoring &amp; Prioritisation — Rate Your Shortlisted Principles</t>
        </is>
      </c>
    </row>
    <row r="2" ht="15.75" customHeight="1" s="104">
      <c r="B2" s="131" t="inlineStr">
        <is>
          <t>Score each criterion 1–5 (1=Very low, 5=Very high). Priority Score auto-calculates as weighted total out of 20. Top principle shown at bottom.</t>
        </is>
      </c>
    </row>
    <row r="3" ht="36" customHeight="1" s="104">
      <c r="B3" s="47" t="inlineStr">
        <is>
          <t>#</t>
        </is>
      </c>
      <c r="C3" s="47" t="inlineStr">
        <is>
          <t>Principle name (auto)</t>
        </is>
      </c>
      <c r="D3" s="48" t="inlineStr">
        <is>
          <t>Feasibility
(1–5)</t>
        </is>
      </c>
      <c r="E3" s="49" t="inlineStr">
        <is>
          <t>Impact on
problem (1–5)</t>
        </is>
      </c>
      <c r="F3" s="50" t="inlineStr">
        <is>
          <t>Speed to
implement (1–5)</t>
        </is>
      </c>
      <c r="G3" s="51" t="inlineStr">
        <is>
          <t>Cost
(inverse, 1–5)</t>
        </is>
      </c>
      <c r="H3" s="52" t="inlineStr">
        <is>
          <t>Priority
score /20</t>
        </is>
      </c>
      <c r="I3" s="47" t="inlineStr">
        <is>
          <t>Notes / rationale</t>
        </is>
      </c>
    </row>
    <row r="4" ht="21.75" customHeight="1" s="104">
      <c r="B4" s="53" t="n"/>
      <c r="C4" s="54">
        <f>IFERROR(VLOOKUP(B4,Appendix!$A:$B,2,0),"")</f>
        <v/>
      </c>
      <c r="D4" s="55" t="n"/>
      <c r="E4" s="56" t="n"/>
      <c r="F4" s="57" t="n"/>
      <c r="G4" s="58" t="n"/>
      <c r="H4" s="59">
        <f>IFERROR(IF(OR(D4="",E4="",F4="",G4=""),"",ROUND((D4*0.3+E4*0.35+F4*0.2+G4*0.15)*4,1)),"")</f>
        <v/>
      </c>
      <c r="I4" s="4" t="n"/>
    </row>
    <row r="5" ht="21.75" customHeight="1" s="104">
      <c r="B5" s="53" t="n"/>
      <c r="C5" s="60">
        <f>IFERROR(VLOOKUP(B5,Appendix!$A:$B,2,0),"")</f>
        <v/>
      </c>
      <c r="D5" s="61" t="n"/>
      <c r="E5" s="62" t="n"/>
      <c r="F5" s="63" t="n"/>
      <c r="G5" s="64" t="n"/>
      <c r="H5" s="59">
        <f>IFERROR(IF(OR(D5="",E5="",F5="",G5=""),"",ROUND((D5*0.3+E5*0.35+F5*0.2+G5*0.15)*4,1)),"")</f>
        <v/>
      </c>
      <c r="I5" s="46" t="n"/>
    </row>
    <row r="6" ht="21.75" customHeight="1" s="104">
      <c r="B6" s="53" t="n"/>
      <c r="C6" s="54">
        <f>IFERROR(VLOOKUP(B6,Appendix!$A:$B,2,0),"")</f>
        <v/>
      </c>
      <c r="D6" s="55" t="n"/>
      <c r="E6" s="56" t="n"/>
      <c r="F6" s="57" t="n"/>
      <c r="G6" s="58" t="n"/>
      <c r="H6" s="59">
        <f>IFERROR(IF(OR(D6="",E6="",F6="",G6=""),"",ROUND((D6*0.3+E6*0.35+F6*0.2+G6*0.15)*4,1)),"")</f>
        <v/>
      </c>
      <c r="I6" s="4" t="n"/>
    </row>
    <row r="7" ht="21.75" customHeight="1" s="104">
      <c r="B7" s="53" t="n"/>
      <c r="C7" s="60">
        <f>IFERROR(VLOOKUP(B7,Appendix!$A:$B,2,0),"")</f>
        <v/>
      </c>
      <c r="D7" s="61" t="n"/>
      <c r="E7" s="62" t="n"/>
      <c r="F7" s="63" t="n"/>
      <c r="G7" s="64" t="n"/>
      <c r="H7" s="59">
        <f>IFERROR(IF(OR(D7="",E7="",F7="",G7=""),"",ROUND((D7*0.3+E7*0.35+F7*0.2+G7*0.15)*4,1)),"")</f>
        <v/>
      </c>
      <c r="I7" s="46" t="n"/>
    </row>
    <row r="8" ht="21.75" customHeight="1" s="104">
      <c r="B8" s="53" t="n"/>
      <c r="C8" s="54">
        <f>IFERROR(VLOOKUP(B8,Appendix!$A:$B,2,0),"")</f>
        <v/>
      </c>
      <c r="D8" s="55" t="n"/>
      <c r="E8" s="56" t="n"/>
      <c r="F8" s="57" t="n"/>
      <c r="G8" s="58" t="n"/>
      <c r="H8" s="59">
        <f>IFERROR(IF(OR(D8="",E8="",F8="",G8=""),"",ROUND((D8*0.3+E8*0.35+F8*0.2+G8*0.15)*4,1)),"")</f>
        <v/>
      </c>
      <c r="I8" s="4" t="n"/>
    </row>
    <row r="9" ht="21.75" customHeight="1" s="104">
      <c r="B9" s="53" t="n"/>
      <c r="C9" s="60">
        <f>IFERROR(VLOOKUP(B9,Appendix!$A:$B,2,0),"")</f>
        <v/>
      </c>
      <c r="D9" s="61" t="n"/>
      <c r="E9" s="62" t="n"/>
      <c r="F9" s="63" t="n"/>
      <c r="G9" s="64" t="n"/>
      <c r="H9" s="59">
        <f>IFERROR(IF(OR(D9="",E9="",F9="",G9=""),"",ROUND((D9*0.3+E9*0.35+F9*0.2+G9*0.15)*4,1)),"")</f>
        <v/>
      </c>
      <c r="I9" s="46" t="n"/>
    </row>
    <row r="10" ht="21.75" customHeight="1" s="104">
      <c r="B10" s="53" t="n"/>
      <c r="C10" s="54">
        <f>IFERROR(VLOOKUP(B10,Appendix!$A:$B,2,0),"")</f>
        <v/>
      </c>
      <c r="D10" s="55" t="n"/>
      <c r="E10" s="56" t="n"/>
      <c r="F10" s="57" t="n"/>
      <c r="G10" s="58" t="n"/>
      <c r="H10" s="59">
        <f>IFERROR(IF(OR(D10="",E10="",F10="",G10=""),"",ROUND((D10*0.3+E10*0.35+F10*0.2+G10*0.15)*4,1)),"")</f>
        <v/>
      </c>
      <c r="I10" s="4" t="n"/>
    </row>
    <row r="11" ht="21.75" customHeight="1" s="104">
      <c r="B11" s="53" t="n"/>
      <c r="C11" s="60">
        <f>IFERROR(VLOOKUP(B11,Appendix!$A:$B,2,0),"")</f>
        <v/>
      </c>
      <c r="D11" s="61" t="n"/>
      <c r="E11" s="62" t="n"/>
      <c r="F11" s="63" t="n"/>
      <c r="G11" s="64" t="n"/>
      <c r="H11" s="59">
        <f>IFERROR(IF(OR(D11="",E11="",F11="",G11=""),"",ROUND((D11*0.3+E11*0.35+F11*0.2+G11*0.15)*4,1)),"")</f>
        <v/>
      </c>
      <c r="I11" s="46" t="n"/>
    </row>
    <row r="12" ht="21.75" customHeight="1" s="104">
      <c r="B12" s="53" t="n"/>
      <c r="C12" s="54">
        <f>IFERROR(VLOOKUP(B12,Appendix!$A:$B,2,0),"")</f>
        <v/>
      </c>
      <c r="D12" s="55" t="n"/>
      <c r="E12" s="56" t="n"/>
      <c r="F12" s="57" t="n"/>
      <c r="G12" s="58" t="n"/>
      <c r="H12" s="59">
        <f>IFERROR(IF(OR(D12="",E12="",F12="",G12=""),"",ROUND((D12*0.3+E12*0.35+F12*0.2+G12*0.15)*4,1)),"")</f>
        <v/>
      </c>
      <c r="I12" s="4" t="n"/>
    </row>
    <row r="13" ht="21.75" customHeight="1" s="104">
      <c r="B13" s="53" t="n"/>
      <c r="C13" s="60">
        <f>IFERROR(VLOOKUP(B13,Appendix!$A:$B,2,0),"")</f>
        <v/>
      </c>
      <c r="D13" s="61" t="n"/>
      <c r="E13" s="62" t="n"/>
      <c r="F13" s="63" t="n"/>
      <c r="G13" s="64" t="n"/>
      <c r="H13" s="59">
        <f>IFERROR(IF(OR(D13="",E13="",F13="",G13=""),"",ROUND((D13*0.3+E13*0.35+F13*0.2+G13*0.15)*4,1)),"")</f>
        <v/>
      </c>
      <c r="I13" s="46" t="n"/>
    </row>
    <row r="14" ht="21.75" customHeight="1" s="104">
      <c r="B14" s="53" t="n"/>
      <c r="C14" s="54">
        <f>IFERROR(VLOOKUP(B14,Appendix!$A:$B,2,0),"")</f>
        <v/>
      </c>
      <c r="D14" s="55" t="n"/>
      <c r="E14" s="56" t="n"/>
      <c r="F14" s="57" t="n"/>
      <c r="G14" s="58" t="n"/>
      <c r="H14" s="59">
        <f>IFERROR(IF(OR(D14="",E14="",F14="",G14=""),"",ROUND((D14*0.3+E14*0.35+F14*0.2+G14*0.15)*4,1)),"")</f>
        <v/>
      </c>
      <c r="I14" s="4" t="n"/>
    </row>
    <row r="15" ht="21.75" customHeight="1" s="104">
      <c r="B15" s="53" t="n"/>
      <c r="C15" s="60">
        <f>IFERROR(VLOOKUP(B15,Appendix!$A:$B,2,0),"")</f>
        <v/>
      </c>
      <c r="D15" s="61" t="n"/>
      <c r="E15" s="62" t="n"/>
      <c r="F15" s="63" t="n"/>
      <c r="G15" s="64" t="n"/>
      <c r="H15" s="59">
        <f>IFERROR(IF(OR(D15="",E15="",F15="",G15=""),"",ROUND((D15*0.3+E15*0.35+F15*0.2+G15*0.15)*4,1)),"")</f>
        <v/>
      </c>
      <c r="I15" s="46" t="n"/>
    </row>
    <row r="17" ht="9.75" customHeight="1" s="104"/>
    <row r="18" ht="21.75" customHeight="1" s="104">
      <c r="B18" s="129" t="inlineStr">
        <is>
          <t>Weights: Feasibility 30%  ·  Impact 35%  ·  Speed 20%  ·  Cost 15%   |   Score = weighted total × 4  (max 20.0)</t>
        </is>
      </c>
      <c r="C18" s="109" t="n"/>
      <c r="D18" s="109" t="n"/>
      <c r="E18" s="109" t="n"/>
      <c r="F18" s="109" t="n"/>
      <c r="G18" s="109" t="n"/>
      <c r="H18" s="109" t="n"/>
      <c r="I18" s="109" t="n"/>
    </row>
    <row r="20" ht="9.75" customHeight="1" s="104"/>
    <row r="21" ht="27.75" customHeight="1" s="104">
      <c r="B21" s="6" t="inlineStr">
        <is>
          <t>Top priority</t>
        </is>
      </c>
      <c r="C21" s="132">
        <f>IFERROR(INDEX(C4:C15,MATCH(MAX(H4:H15),H4:H15,0)),"— enter scores above —")</f>
        <v/>
      </c>
      <c r="D21" s="133" t="n"/>
      <c r="E21" s="133" t="n"/>
      <c r="F21" s="134" t="n"/>
      <c r="G21" s="135">
        <f>IFERROR(TEXT(MAX(H4:H15),"0.0")&amp;" / 20","—")</f>
        <v/>
      </c>
      <c r="H21" s="133" t="n"/>
      <c r="I21" s="134" t="n"/>
    </row>
  </sheetData>
  <mergeCells count="5">
    <mergeCell ref="B18:I18"/>
    <mergeCell ref="B1:I1"/>
    <mergeCell ref="B2:I2"/>
    <mergeCell ref="C21:F21"/>
    <mergeCell ref="G21:I21"/>
  </mergeCells>
  <dataValidations count="1">
    <dataValidation sqref="D4:G15" showDropDown="0" showInputMessage="0" showErrorMessage="0" allowBlank="1" type="whole">
      <formula1>1</formula1>
      <formula2>5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6C3483"/>
    <outlinePr summaryBelow="1" summaryRight="1"/>
    <pageSetUpPr/>
  </sheetPr>
  <dimension ref="B1:G14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1" sqref="A1"/>
    </sheetView>
  </sheetViews>
  <sheetFormatPr baseColWidth="8" defaultColWidth="8.7109375" defaultRowHeight="15"/>
  <cols>
    <col width="3" customWidth="1" style="104" min="1" max="1"/>
    <col width="18" customWidth="1" style="104" min="2" max="2"/>
    <col width="22" customWidth="1" style="104" min="3" max="3"/>
    <col width="20" customWidth="1" style="104" min="4" max="4"/>
    <col width="14" customWidth="1" style="104" min="5" max="5"/>
    <col width="26" customWidth="1" style="104" min="6" max="7"/>
    <col width="3" customWidth="1" style="104" min="8" max="8"/>
  </cols>
  <sheetData>
    <row r="1" ht="27.75" customHeight="1" s="104">
      <c r="B1" s="136" t="inlineStr">
        <is>
          <t>TRIZ Case Study Library — Real-World Solved Examples</t>
        </is>
      </c>
    </row>
    <row r="2" ht="19.5" customHeight="1" s="104">
      <c r="B2" s="47" t="inlineStr">
        <is>
          <t>Industry</t>
        </is>
      </c>
      <c r="C2" s="47" t="inlineStr">
        <is>
          <t>Problem</t>
        </is>
      </c>
      <c r="D2" s="47" t="inlineStr">
        <is>
          <t>Contradiction</t>
        </is>
      </c>
      <c r="E2" s="47" t="inlineStr">
        <is>
          <t>Principles</t>
        </is>
      </c>
      <c r="F2" s="47" t="inlineStr">
        <is>
          <t>Solution applied</t>
        </is>
      </c>
      <c r="G2" s="47" t="inlineStr">
        <is>
          <t>Outcome</t>
        </is>
      </c>
    </row>
    <row r="3" ht="54" customHeight="1" s="104">
      <c r="B3" s="65" t="inlineStr">
        <is>
          <t>Semiconductor</t>
        </is>
      </c>
      <c r="C3" s="38" t="inlineStr">
        <is>
          <t>CTE mismatch causing delamination in 3D stacked die packages</t>
        </is>
      </c>
      <c r="D3" s="36" t="inlineStr">
        <is>
          <t>Technical: thermal conductivity vs CTE compatibility</t>
        </is>
      </c>
      <c r="E3" s="45" t="inlineStr">
        <is>
          <t>3,15,35,40</t>
        </is>
      </c>
      <c r="F3" s="36" t="inlineStr">
        <is>
          <t>Graded CTE interlayer with nano-silver composites; viscoelastic MUF with Tg tuned to 85–100°C operating window</t>
        </is>
      </c>
      <c r="G3" s="44" t="inlineStr">
        <is>
          <t>Peak stress reduced ~30%; delamination eliminated in 1000-cycle thermal test</t>
        </is>
      </c>
    </row>
    <row r="4" ht="54" customHeight="1" s="104">
      <c r="B4" s="66" t="inlineStr">
        <is>
          <t>Aerospace</t>
        </is>
      </c>
      <c r="C4" s="38" t="inlineStr">
        <is>
          <t>Wing must be strong for turbulence loads but light for fuel efficiency</t>
        </is>
      </c>
      <c r="D4" s="36" t="inlineStr">
        <is>
          <t>Technical: strength vs weight</t>
        </is>
      </c>
      <c r="E4" s="45" t="inlineStr">
        <is>
          <t>1,8,15,40</t>
        </is>
      </c>
      <c r="F4" s="36" t="inlineStr">
        <is>
          <t>CFRP with variable fibre orientation by load zone (local quality); hollow lattice spar (segmentation + nested doll)</t>
        </is>
      </c>
      <c r="G4" s="44" t="inlineStr">
        <is>
          <t>40–50% weight reduction vs aluminium; now standard in commercial aviation</t>
        </is>
      </c>
    </row>
    <row r="5" ht="54" customHeight="1" s="104">
      <c r="B5" s="67" t="inlineStr">
        <is>
          <t>Automotive</t>
        </is>
      </c>
      <c r="C5" s="68" t="inlineStr">
        <is>
          <t>Engine: high power but low NOx emissions</t>
        </is>
      </c>
      <c r="D5" s="36" t="inlineStr">
        <is>
          <t>Physical: combustion temp must be high (efficiency) AND low (NOx reduction)</t>
        </is>
      </c>
      <c r="E5" s="45" t="inlineStr">
        <is>
          <t>10,35,36</t>
        </is>
      </c>
      <c r="F5" s="36" t="inlineStr">
        <is>
          <t>Cylinder deactivation at low load; exhaust gas recirculation; catalytic converter for residual emissions</t>
        </is>
      </c>
      <c r="G5" s="44" t="inlineStr">
        <is>
          <t>Euro 6 compliance achieved without significant power loss</t>
        </is>
      </c>
    </row>
    <row r="6" ht="54" customHeight="1" s="104">
      <c r="B6" s="69" t="inlineStr">
        <is>
          <t>Medical devices</t>
        </is>
      </c>
      <c r="C6" s="41" t="inlineStr">
        <is>
          <t>Stent must be rigid enough to hold artery but flexible to navigate vessels</t>
        </is>
      </c>
      <c r="D6" s="36" t="inlineStr">
        <is>
          <t>Physical: stiffness must be high AND low simultaneously</t>
        </is>
      </c>
      <c r="E6" s="45" t="inlineStr">
        <is>
          <t>15,35,36,40</t>
        </is>
      </c>
      <c r="F6" s="36" t="inlineStr">
        <is>
          <t>Nitinol shape-memory alloy — flexible at insertion temperature, rigid at body temperature; composite flexible-rigid segments</t>
        </is>
      </c>
      <c r="G6" s="44" t="inlineStr">
        <is>
          <t>Navigates vessels &lt;3mm; deployed reliably; now standard in coronary stenting</t>
        </is>
      </c>
    </row>
    <row r="7" ht="54" customHeight="1" s="104">
      <c r="B7" s="70" t="inlineStr">
        <is>
          <t>Consumer electronics</t>
        </is>
      </c>
      <c r="C7" s="71" t="inlineStr">
        <is>
          <t>Smartphone battery: longer life but remain thin and light</t>
        </is>
      </c>
      <c r="D7" s="36" t="inlineStr">
        <is>
          <t>Technical: energy capacity vs device volume</t>
        </is>
      </c>
      <c r="E7" s="45" t="inlineStr">
        <is>
          <t>5,7,17,35</t>
        </is>
      </c>
      <c r="F7" s="36" t="inlineStr">
        <is>
          <t>3D battery cell stacking; silicon anode material for higher energy density; cells merged into structural chassis</t>
        </is>
      </c>
      <c r="G7" s="44" t="inlineStr">
        <is>
          <t>Energy density improved 2× over 5 years; thickness maintained below 8mm</t>
        </is>
      </c>
    </row>
    <row r="8" ht="54" customHeight="1" s="104">
      <c r="B8" s="72" t="inlineStr">
        <is>
          <t>Manufacturing</t>
        </is>
      </c>
      <c r="C8" s="44" t="inlineStr">
        <is>
          <t>Welding speed must be high but low heat input needed to avoid distortion</t>
        </is>
      </c>
      <c r="D8" s="36" t="inlineStr">
        <is>
          <t>Technical: productivity vs harmful side effects</t>
        </is>
      </c>
      <c r="E8" s="45" t="inlineStr">
        <is>
          <t>10,18,28,35</t>
        </is>
      </c>
      <c r="F8" s="36" t="inlineStr">
        <is>
          <t>Laser welding replacing arc (replace mechanical system); pulsed mode reduces heat (periodic action); friction stir for aluminium</t>
        </is>
      </c>
      <c r="G8" s="44" t="inlineStr">
        <is>
          <t>Distortion reduced &gt;80%; speed increased 3×; widely used in EV battery manufacturing</t>
        </is>
      </c>
    </row>
    <row r="9" ht="54" customHeight="1" s="104">
      <c r="B9" s="73" t="inlineStr">
        <is>
          <t>Construction</t>
        </is>
      </c>
      <c r="C9" s="74" t="inlineStr">
        <is>
          <t>Concrete must resist tensile cracking but is weak in tension</t>
        </is>
      </c>
      <c r="D9" s="36" t="inlineStr">
        <is>
          <t>Physical: resist tension AND compression simultaneously</t>
        </is>
      </c>
      <c r="E9" s="45" t="inlineStr">
        <is>
          <t>9,10,40</t>
        </is>
      </c>
      <c r="F9" s="36" t="inlineStr">
        <is>
          <t>Pre-stressed post-tensioned concrete: steel tendons pre-loaded (prior counteraction); composite rebar reinforcement</t>
        </is>
      </c>
      <c r="G9" s="44" t="inlineStr">
        <is>
          <t>Enables long-span bridges; 20–30% material reduction vs conventional reinforced concrete</t>
        </is>
      </c>
    </row>
    <row r="10" ht="54" customHeight="1" s="104">
      <c r="B10" s="75" t="inlineStr">
        <is>
          <t>Packaging</t>
        </is>
      </c>
      <c r="C10" s="76" t="inlineStr">
        <is>
          <t>Food packaging must seal firmly but open easily by consumers</t>
        </is>
      </c>
      <c r="D10" s="36" t="inlineStr">
        <is>
          <t>Physical: seal must be strong AND weak simultaneously</t>
        </is>
      </c>
      <c r="E10" s="45" t="inlineStr">
        <is>
          <t>1,15,28,35</t>
        </is>
      </c>
      <c r="F10" s="36" t="inlineStr">
        <is>
          <t>Easy-peel film with weak-bond layer at opening zone (local quality); hermetic seal retained on remaining perimeter; tear-notch (prior action)</t>
        </is>
      </c>
      <c r="G10" s="44" t="inlineStr">
        <is>
          <t>Peel force &lt;5N achieved while maintaining hermetic seal; widely adopted in food industry</t>
        </is>
      </c>
    </row>
    <row r="11" ht="54" customHeight="1" s="104">
      <c r="B11" s="73" t="inlineStr">
        <is>
          <t>Oil and gas</t>
        </is>
      </c>
      <c r="C11" s="74" t="inlineStr">
        <is>
          <t>Drill bit must penetrate hard rock efficiently but not wear quickly</t>
        </is>
      </c>
      <c r="D11" s="36" t="inlineStr">
        <is>
          <t>Technical: cutting efficiency vs durability</t>
        </is>
      </c>
      <c r="E11" s="45" t="inlineStr">
        <is>
          <t>3,27,35,40</t>
        </is>
      </c>
      <c r="F11" s="36" t="inlineStr">
        <is>
          <t>PDC bits with composite diamond cutting elements; diamond layer on face only (local quality); replaceable cutter inserts</t>
        </is>
      </c>
      <c r="G11" s="44" t="inlineStr">
        <is>
          <t>Bit life extended 5–10×; penetration rate increased; dominant technology in oil and gas</t>
        </is>
      </c>
    </row>
    <row r="12" ht="54" customHeight="1" s="104">
      <c r="B12" s="77" t="inlineStr">
        <is>
          <t>Software</t>
        </is>
      </c>
      <c r="C12" s="45" t="inlineStr">
        <is>
          <t>System must process data fast but store complete audit history</t>
        </is>
      </c>
      <c r="D12" s="36" t="inlineStr">
        <is>
          <t>Technical: speed vs loss of information</t>
        </is>
      </c>
      <c r="E12" s="45" t="inlineStr">
        <is>
          <t>1,5,15,26</t>
        </is>
      </c>
      <c r="F12" s="36" t="inlineStr">
        <is>
          <t>Event sourcing: separate current state (fast) from full event log; CQRS pattern; asynchronous log processing (dynamics)</t>
        </is>
      </c>
      <c r="G12" s="44" t="inlineStr">
        <is>
          <t>Query response &lt;10ms; full audit trail; adopted in banking and healthcare</t>
        </is>
      </c>
    </row>
    <row r="13" ht="54" customHeight="1" s="104">
      <c r="B13" s="78" t="inlineStr">
        <is>
          <t>Textiles</t>
        </is>
      </c>
      <c r="C13" s="44" t="inlineStr">
        <is>
          <t>Protective workwear must resist flame but remain comfortable</t>
        </is>
      </c>
      <c r="D13" s="36" t="inlineStr">
        <is>
          <t>Physical: must insulate AND be breathable simultaneously</t>
        </is>
      </c>
      <c r="E13" s="45" t="inlineStr">
        <is>
          <t>3,30,35,40</t>
        </is>
      </c>
      <c r="F13" s="36" t="inlineStr">
        <is>
          <t>Outer layer: flame-resistant Nomex; inner layer: moisture-wicking mesh (local quality + flexible membranes); composite construction</t>
        </is>
      </c>
      <c r="G13" s="44" t="inlineStr">
        <is>
          <t>Arc flash protection 40 cal/cm²; moisture transmission 800g/m²/day; standard in electrical utilities</t>
        </is>
      </c>
    </row>
    <row r="14" ht="54" customHeight="1" s="104">
      <c r="B14" s="72" t="inlineStr">
        <is>
          <t>Agriculture</t>
        </is>
      </c>
      <c r="C14" s="44" t="inlineStr">
        <is>
          <t>Pesticide must cover all plant surfaces but not contaminate groundwater</t>
        </is>
      </c>
      <c r="D14" s="36" t="inlineStr">
        <is>
          <t>Technical: substance coverage vs harmful side effects</t>
        </is>
      </c>
      <c r="E14" s="45" t="inlineStr">
        <is>
          <t>1,3,10,35</t>
        </is>
      </c>
      <c r="F14" s="36" t="inlineStr">
        <is>
          <t>Precision drone spraying on affected zones only (local quality); electrostatic nozzles (parameter change); timed at optimal absorption (prior action)</t>
        </is>
      </c>
      <c r="G14" s="44" t="inlineStr">
        <is>
          <t>Pesticide usage reduced 70–80%; run-off contamination reduced; yield maintained</t>
        </is>
      </c>
    </row>
  </sheetData>
  <mergeCells count="1">
    <mergeCell ref="B1:G1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E67E22"/>
    <outlinePr summaryBelow="1" summaryRight="1"/>
    <pageSetUpPr/>
  </sheetPr>
  <dimension ref="B1:J32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ColWidth="8.7109375" defaultRowHeight="15"/>
  <cols>
    <col width="3" customWidth="1" style="104" min="1" max="1"/>
    <col width="13" customWidth="1" style="104" min="2" max="2"/>
    <col width="22" customWidth="1" style="104" min="3" max="4"/>
    <col width="16" customWidth="1" style="104" min="5" max="6"/>
    <col width="18" customWidth="1" style="104" min="7" max="7"/>
    <col width="14" customWidth="1" style="104" min="8" max="8"/>
    <col width="24" customWidth="1" style="104" min="9" max="9"/>
    <col width="18" customWidth="1" style="104" min="10" max="10"/>
    <col width="3" customWidth="1" style="104" min="11" max="11"/>
  </cols>
  <sheetData>
    <row r="1" ht="27.75" customHeight="1" s="104">
      <c r="B1" s="141" t="inlineStr">
        <is>
          <t>Problem History Log — Personal TRIZ Knowledge Base</t>
        </is>
      </c>
    </row>
    <row r="2" ht="27.75" customHeight="1" s="104">
      <c r="B2" s="143" t="inlineStr">
        <is>
          <t>Log each TRIZ session here. To start a new problem: right-click the TRIZ Navigator tab → Move or Copy → tick Create a copy. Then record the outcome below. Statistics at the bottom auto-update.</t>
        </is>
      </c>
    </row>
    <row r="3" ht="31.5" customHeight="1" s="104">
      <c r="B3" s="79" t="inlineStr">
        <is>
          <t>Date</t>
        </is>
      </c>
      <c r="C3" s="79" t="inlineStr">
        <is>
          <t>System / product</t>
        </is>
      </c>
      <c r="D3" s="79" t="inlineStr">
        <is>
          <t>Problem summary</t>
        </is>
      </c>
      <c r="E3" s="79" t="inlineStr">
        <is>
          <t>Contradiction type</t>
        </is>
      </c>
      <c r="F3" s="79" t="inlineStr">
        <is>
          <t>Separation / matrix path</t>
        </is>
      </c>
      <c r="G3" s="79" t="inlineStr">
        <is>
          <t>Principles used</t>
        </is>
      </c>
      <c r="H3" s="79" t="inlineStr">
        <is>
          <t>Innovation level</t>
        </is>
      </c>
      <c r="I3" s="79" t="inlineStr">
        <is>
          <t>Solution chosen</t>
        </is>
      </c>
      <c r="J3" s="79" t="inlineStr">
        <is>
          <t>Status</t>
        </is>
      </c>
    </row>
    <row r="4" ht="36" customHeight="1" s="104">
      <c r="B4" s="45" t="inlineStr">
        <is>
          <t>2024</t>
        </is>
      </c>
      <c r="C4" s="45" t="inlineStr">
        <is>
          <t>HBM stack — 3D IC package</t>
        </is>
      </c>
      <c r="D4" s="45" t="inlineStr">
        <is>
          <t>CTE mismatch and thermal dissipation in stacked dies</t>
        </is>
      </c>
      <c r="E4" s="45" t="inlineStr">
        <is>
          <t>Physical Contradiction</t>
        </is>
      </c>
      <c r="F4" s="45" t="inlineStr">
        <is>
          <t>Separate on Condition / Separate in Time</t>
        </is>
      </c>
      <c r="G4" s="45" t="inlineStr">
        <is>
          <t>15, 35, 5, 3</t>
        </is>
      </c>
      <c r="H4" s="45" t="inlineStr">
        <is>
          <t>Level 2</t>
        </is>
      </c>
      <c r="I4" s="45" t="inlineStr">
        <is>
          <t>A2: Viscoelastic MUF with Tg 85–100°C; A1: Graded CTE interlayer</t>
        </is>
      </c>
      <c r="J4" s="45" t="inlineStr">
        <is>
          <t>In progress</t>
        </is>
      </c>
    </row>
    <row r="5" ht="36" customHeight="1" s="104">
      <c r="B5" s="74" t="n"/>
      <c r="C5" s="74" t="n"/>
      <c r="D5" s="74" t="n"/>
      <c r="E5" s="74" t="n"/>
      <c r="F5" s="74" t="n"/>
      <c r="G5" s="74" t="n"/>
      <c r="H5" s="74" t="n"/>
      <c r="I5" s="74" t="n"/>
      <c r="J5" s="74" t="n"/>
    </row>
    <row r="6" ht="36" customHeight="1" s="104">
      <c r="B6" s="36" t="n"/>
      <c r="C6" s="36" t="n"/>
      <c r="D6" s="36" t="n"/>
      <c r="E6" s="36" t="n"/>
      <c r="F6" s="36" t="n"/>
      <c r="G6" s="36" t="n"/>
      <c r="H6" s="36" t="n"/>
      <c r="I6" s="36" t="n"/>
      <c r="J6" s="36" t="n"/>
    </row>
    <row r="7" ht="36" customHeight="1" s="104">
      <c r="B7" s="74" t="n"/>
      <c r="C7" s="74" t="n"/>
      <c r="D7" s="74" t="n"/>
      <c r="E7" s="74" t="n"/>
      <c r="F7" s="74" t="n"/>
      <c r="G7" s="74" t="n"/>
      <c r="H7" s="74" t="n"/>
      <c r="I7" s="74" t="n"/>
      <c r="J7" s="74" t="n"/>
    </row>
    <row r="8" ht="36" customHeight="1" s="104">
      <c r="B8" s="36" t="n"/>
      <c r="C8" s="36" t="n"/>
      <c r="D8" s="36" t="n"/>
      <c r="E8" s="36" t="n"/>
      <c r="F8" s="36" t="n"/>
      <c r="G8" s="36" t="n"/>
      <c r="H8" s="36" t="n"/>
      <c r="I8" s="36" t="n"/>
      <c r="J8" s="36" t="n"/>
    </row>
    <row r="9" ht="36" customHeight="1" s="104">
      <c r="B9" s="74" t="n"/>
      <c r="C9" s="74" t="n"/>
      <c r="D9" s="74" t="n"/>
      <c r="E9" s="74" t="n"/>
      <c r="F9" s="74" t="n"/>
      <c r="G9" s="74" t="n"/>
      <c r="H9" s="74" t="n"/>
      <c r="I9" s="74" t="n"/>
      <c r="J9" s="74" t="n"/>
    </row>
    <row r="10" ht="36" customHeight="1" s="104">
      <c r="B10" s="36" t="n"/>
      <c r="C10" s="36" t="n"/>
      <c r="D10" s="36" t="n"/>
      <c r="E10" s="36" t="n"/>
      <c r="F10" s="36" t="n"/>
      <c r="G10" s="36" t="n"/>
      <c r="H10" s="36" t="n"/>
      <c r="I10" s="36" t="n"/>
      <c r="J10" s="36" t="n"/>
    </row>
    <row r="11" ht="36" customHeight="1" s="104">
      <c r="B11" s="74" t="n"/>
      <c r="C11" s="74" t="n"/>
      <c r="D11" s="74" t="n"/>
      <c r="E11" s="74" t="n"/>
      <c r="F11" s="74" t="n"/>
      <c r="G11" s="74" t="n"/>
      <c r="H11" s="74" t="n"/>
      <c r="I11" s="74" t="n"/>
      <c r="J11" s="74" t="n"/>
    </row>
    <row r="12" ht="36" customHeight="1" s="104"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</row>
    <row r="13" ht="36" customHeight="1" s="104">
      <c r="B13" s="74" t="n"/>
      <c r="C13" s="74" t="n"/>
      <c r="D13" s="74" t="n"/>
      <c r="E13" s="74" t="n"/>
      <c r="F13" s="74" t="n"/>
      <c r="G13" s="74" t="n"/>
      <c r="H13" s="74" t="n"/>
      <c r="I13" s="74" t="n"/>
      <c r="J13" s="74" t="n"/>
    </row>
    <row r="14" ht="36" customHeight="1" s="104">
      <c r="B14" s="36" t="n"/>
      <c r="C14" s="36" t="n"/>
      <c r="D14" s="36" t="n"/>
      <c r="E14" s="36" t="n"/>
      <c r="F14" s="36" t="n"/>
      <c r="G14" s="36" t="n"/>
      <c r="H14" s="36" t="n"/>
      <c r="I14" s="36" t="n"/>
      <c r="J14" s="36" t="n"/>
    </row>
    <row r="15" ht="36" customHeight="1" s="104">
      <c r="B15" s="74" t="n"/>
      <c r="C15" s="74" t="n"/>
      <c r="D15" s="74" t="n"/>
      <c r="E15" s="74" t="n"/>
      <c r="F15" s="74" t="n"/>
      <c r="G15" s="74" t="n"/>
      <c r="H15" s="74" t="n"/>
      <c r="I15" s="74" t="n"/>
      <c r="J15" s="74" t="n"/>
    </row>
    <row r="16" ht="36" customHeight="1" s="104">
      <c r="B16" s="36" t="n"/>
      <c r="C16" s="36" t="n"/>
      <c r="D16" s="36" t="n"/>
      <c r="E16" s="36" t="n"/>
      <c r="F16" s="36" t="n"/>
      <c r="G16" s="36" t="n"/>
      <c r="H16" s="36" t="n"/>
      <c r="I16" s="36" t="n"/>
      <c r="J16" s="36" t="n"/>
    </row>
    <row r="17" ht="36" customHeight="1" s="104">
      <c r="B17" s="74" t="n"/>
      <c r="C17" s="74" t="n"/>
      <c r="D17" s="74" t="n"/>
      <c r="E17" s="74" t="n"/>
      <c r="F17" s="74" t="n"/>
      <c r="G17" s="74" t="n"/>
      <c r="H17" s="74" t="n"/>
      <c r="I17" s="74" t="n"/>
      <c r="J17" s="74" t="n"/>
    </row>
    <row r="18" ht="36" customHeight="1" s="104">
      <c r="B18" s="36" t="n"/>
      <c r="C18" s="36" t="n"/>
      <c r="D18" s="36" t="n"/>
      <c r="E18" s="36" t="n"/>
      <c r="F18" s="36" t="n"/>
      <c r="G18" s="36" t="n"/>
      <c r="H18" s="36" t="n"/>
      <c r="I18" s="36" t="n"/>
      <c r="J18" s="36" t="n"/>
    </row>
    <row r="19" ht="36" customHeight="1" s="104">
      <c r="B19" s="74" t="n"/>
      <c r="C19" s="74" t="n"/>
      <c r="D19" s="74" t="n"/>
      <c r="E19" s="74" t="n"/>
      <c r="F19" s="74" t="n"/>
      <c r="G19" s="74" t="n"/>
      <c r="H19" s="74" t="n"/>
      <c r="I19" s="74" t="n"/>
      <c r="J19" s="74" t="n"/>
    </row>
    <row r="20" ht="36" customHeight="1" s="104"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</row>
    <row r="21" ht="36" customHeight="1" s="104">
      <c r="B21" s="74" t="n"/>
      <c r="C21" s="74" t="n"/>
      <c r="D21" s="74" t="n"/>
      <c r="E21" s="74" t="n"/>
      <c r="F21" s="74" t="n"/>
      <c r="G21" s="74" t="n"/>
      <c r="H21" s="74" t="n"/>
      <c r="I21" s="74" t="n"/>
      <c r="J21" s="74" t="n"/>
    </row>
    <row r="22" ht="36" customHeight="1" s="104"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</row>
    <row r="23" ht="36" customHeight="1" s="104">
      <c r="B23" s="74" t="n"/>
      <c r="C23" s="74" t="n"/>
      <c r="D23" s="74" t="n"/>
      <c r="E23" s="74" t="n"/>
      <c r="F23" s="74" t="n"/>
      <c r="G23" s="74" t="n"/>
      <c r="H23" s="74" t="n"/>
      <c r="I23" s="74" t="n"/>
      <c r="J23" s="74" t="n"/>
    </row>
    <row r="25" ht="9.75" customHeight="1" s="104"/>
    <row r="26" ht="21.75" customHeight="1" s="104">
      <c r="B26" s="142" t="inlineStr">
        <is>
          <t>Session statistics (auto-calculated)</t>
        </is>
      </c>
      <c r="C26" s="85" t="n"/>
      <c r="D26" s="85" t="n"/>
      <c r="E26" s="85" t="n"/>
      <c r="F26" s="85" t="n"/>
      <c r="G26" s="85" t="n"/>
      <c r="H26" s="85" t="n"/>
      <c r="I26" s="85" t="n"/>
      <c r="J26" s="86" t="n"/>
    </row>
    <row r="27" ht="19.5" customHeight="1" s="104">
      <c r="B27" s="137" t="inlineStr">
        <is>
          <t>Total sessions logged</t>
        </is>
      </c>
      <c r="C27" s="102" t="n"/>
      <c r="D27" s="102" t="n"/>
      <c r="E27" s="138" t="n"/>
      <c r="F27" s="139">
        <f>COUNTA(C4:C23)</f>
        <v/>
      </c>
      <c r="G27" s="140" t="n"/>
    </row>
    <row r="28" ht="19.5" customHeight="1" s="104">
      <c r="B28" s="137" t="inlineStr">
        <is>
          <t>Technical contradictions</t>
        </is>
      </c>
      <c r="C28" s="102" t="n"/>
      <c r="D28" s="102" t="n"/>
      <c r="E28" s="138" t="n"/>
      <c r="F28" s="139">
        <f>COUNTIF(E4:E23,"Technical Contradiction")</f>
        <v/>
      </c>
      <c r="G28" s="140" t="n"/>
    </row>
    <row r="29" ht="19.5" customHeight="1" s="104">
      <c r="B29" s="137" t="inlineStr">
        <is>
          <t>Physical contradictions</t>
        </is>
      </c>
      <c r="C29" s="102" t="n"/>
      <c r="D29" s="102" t="n"/>
      <c r="E29" s="138" t="n"/>
      <c r="F29" s="139">
        <f>COUNTIF(E4:E23,"Physical Contradiction")</f>
        <v/>
      </c>
      <c r="G29" s="140" t="n"/>
    </row>
    <row r="30" ht="19.5" customHeight="1" s="104">
      <c r="B30" s="137" t="inlineStr">
        <is>
          <t>Level 3–5 solutions</t>
        </is>
      </c>
      <c r="C30" s="102" t="n"/>
      <c r="D30" s="102" t="n"/>
      <c r="E30" s="138" t="n"/>
      <c r="F30" s="139">
        <f>COUNTIF(H4:H23,"Level 3")+COUNTIF(H4:H23,"Level 4")+COUNTIF(H4:H23,"Level 5")</f>
        <v/>
      </c>
      <c r="G30" s="140" t="n"/>
    </row>
    <row r="31" ht="19.5" customHeight="1" s="104">
      <c r="B31" s="137" t="inlineStr">
        <is>
          <t>Implemented solutions</t>
        </is>
      </c>
      <c r="C31" s="102" t="n"/>
      <c r="D31" s="102" t="n"/>
      <c r="E31" s="138" t="n"/>
      <c r="F31" s="139">
        <f>COUNTIF(J4:J23,"Implemented")</f>
        <v/>
      </c>
      <c r="G31" s="140" t="n"/>
    </row>
    <row r="32" ht="19.5" customHeight="1" s="104">
      <c r="B32" s="137" t="inlineStr">
        <is>
          <t>In progress</t>
        </is>
      </c>
      <c r="C32" s="102" t="n"/>
      <c r="D32" s="102" t="n"/>
      <c r="E32" s="138" t="n"/>
      <c r="F32" s="139">
        <f>COUNTIF(J4:J23,"In progress")</f>
        <v/>
      </c>
      <c r="G32" s="140" t="n"/>
    </row>
  </sheetData>
  <mergeCells count="15">
    <mergeCell ref="B31:E31"/>
    <mergeCell ref="F27:G27"/>
    <mergeCell ref="B27:E27"/>
    <mergeCell ref="F30:G30"/>
    <mergeCell ref="F29:G29"/>
    <mergeCell ref="B30:E30"/>
    <mergeCell ref="B26:J26"/>
    <mergeCell ref="F31:G31"/>
    <mergeCell ref="B1:J1"/>
    <mergeCell ref="F28:G28"/>
    <mergeCell ref="B29:E29"/>
    <mergeCell ref="F32:G32"/>
    <mergeCell ref="B28:E28"/>
    <mergeCell ref="B2:J2"/>
    <mergeCell ref="B32:E32"/>
  </mergeCells>
  <dataValidations count="3">
    <dataValidation sqref="E4:E23" showDropDown="0" showInputMessage="0" showErrorMessage="0" allowBlank="1" type="list">
      <formula1>"Technical Contradiction,Physical Contradiction"</formula1>
      <formula2>0</formula2>
    </dataValidation>
    <dataValidation sqref="H4:H23" showDropDown="0" showInputMessage="0" showErrorMessage="0" allowBlank="1" type="list">
      <formula1>"Level 1,Level 2,Level 3,Level 4,Level 5"</formula1>
      <formula2>0</formula2>
    </dataValidation>
    <dataValidation sqref="J4:J23" showDropDown="0" showInputMessage="0" showErrorMessage="0" allowBlank="1" type="list">
      <formula1>"In progress,Solution identified,Implemented,On hold,Abandoned"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tabColor rgb="FF1E8449"/>
    <outlinePr summaryBelow="1" summaryRight="1"/>
    <pageSetUpPr/>
  </sheetPr>
  <dimension ref="A1:E42"/>
  <sheetViews>
    <sheetView showGridLines="0" zoomScaleNormal="100" workbookViewId="0">
      <pane ySplit="2" topLeftCell="A3" activePane="bottomLeft" state="frozen"/>
      <selection pane="bottomLeft" activeCell="A1" sqref="A1"/>
    </sheetView>
  </sheetViews>
  <sheetFormatPr baseColWidth="8" defaultColWidth="8.7109375" defaultRowHeight="15"/>
  <cols>
    <col width="6" customWidth="1" style="104" min="1" max="1"/>
    <col width="26" customWidth="1" style="104" min="2" max="2"/>
    <col width="38" customWidth="1" style="104" min="3" max="5"/>
  </cols>
  <sheetData>
    <row r="1" ht="31.5" customHeight="1" s="104">
      <c r="A1" s="144" t="inlineStr">
        <is>
          <t>TRIZ — 40 Inventive Principles: Definitions &amp; Examples</t>
        </is>
      </c>
    </row>
    <row r="2" ht="19.5" customHeight="1" s="104">
      <c r="A2" s="142" t="inlineStr">
        <is>
          <t>#</t>
        </is>
      </c>
      <c r="B2" s="142" t="inlineStr">
        <is>
          <t>Principle name</t>
        </is>
      </c>
      <c r="C2" s="142" t="inlineStr">
        <is>
          <t>Definition</t>
        </is>
      </c>
      <c r="D2" s="142" t="inlineStr">
        <is>
          <t>Engineering / tech example</t>
        </is>
      </c>
      <c r="E2" s="142" t="inlineStr">
        <is>
          <t>Cross-industry / everyday example</t>
        </is>
      </c>
    </row>
    <row r="3" ht="42" customHeight="1" s="104">
      <c r="A3" s="80" t="n">
        <v>1</v>
      </c>
      <c r="B3" s="81" t="inlineStr">
        <is>
          <t>Segmentation</t>
        </is>
      </c>
      <c r="C3" s="36" t="inlineStr">
        <is>
          <t>Divide an object into independent parts; make it sectional; increase the degree of fragmentation.</t>
        </is>
      </c>
      <c r="D3" s="36" t="inlineStr">
        <is>
          <t>Modular aircraft fuselage sections allow independent manufacture and assembly; segmented turbine blades.</t>
        </is>
      </c>
      <c r="E3" s="36" t="inlineStr">
        <is>
          <t>Modular furniture (IKEA flat-pack); segmented chocolate bar; sectional sofa.</t>
        </is>
      </c>
    </row>
    <row r="4" ht="42" customHeight="1" s="104">
      <c r="A4" s="80" t="n">
        <v>2</v>
      </c>
      <c r="B4" s="81" t="inlineStr">
        <is>
          <t>Taking out</t>
        </is>
      </c>
      <c r="C4" s="74" t="inlineStr">
        <is>
          <t>Separate an interfering part or property from an object, or extract only the necessary part or property.</t>
        </is>
      </c>
      <c r="D4" s="74" t="inlineStr">
        <is>
          <t>Extract only the necessary signal from noise in sensor design; remove heat source from sensitive electronics.</t>
        </is>
      </c>
      <c r="E4" s="74" t="inlineStr">
        <is>
          <t>Juicer separates juice from pulp; noise-cancelling headphones extract signal from ambient noise.</t>
        </is>
      </c>
    </row>
    <row r="5" ht="42" customHeight="1" s="104">
      <c r="A5" s="80" t="n">
        <v>3</v>
      </c>
      <c r="B5" s="81" t="inlineStr">
        <is>
          <t>Local quality</t>
        </is>
      </c>
      <c r="C5" s="36" t="inlineStr">
        <is>
          <t>Transition from homogeneous to heterogeneous structure; make each part function in optimal conditions; make each part fulfil a different and useful function.</t>
        </is>
      </c>
      <c r="D5" s="36" t="inlineStr">
        <is>
          <t>Graded CTE interlayer in semiconductor packaging; variable-density foam in automotive seating.</t>
        </is>
      </c>
      <c r="E5" s="36" t="inlineStr">
        <is>
          <t>Pencil with eraser at one end; Swiss Army knife; bifocal lens with different zones.</t>
        </is>
      </c>
    </row>
    <row r="6" ht="42" customHeight="1" s="104">
      <c r="A6" s="80" t="n">
        <v>4</v>
      </c>
      <c r="B6" s="81" t="inlineStr">
        <is>
          <t>Asymmetry</t>
        </is>
      </c>
      <c r="C6" s="74" t="inlineStr">
        <is>
          <t>Change the shape from symmetrical to asymmetrical; if already asymmetrical, increase the degree of asymmetry.</t>
        </is>
      </c>
      <c r="D6" s="74" t="inlineStr">
        <is>
          <t>Asymmetric turbine blade profiles for improved aerodynamics; non-symmetric connector shapes to prevent mis-insertion.</t>
        </is>
      </c>
      <c r="E6" s="74" t="inlineStr">
        <is>
          <t>Ergonomic mouse designed for the right hand; asymmetric tyre tread for wet vs dry grip.</t>
        </is>
      </c>
    </row>
    <row r="7" ht="42" customHeight="1" s="104">
      <c r="A7" s="80" t="n">
        <v>5</v>
      </c>
      <c r="B7" s="81" t="inlineStr">
        <is>
          <t>Merging</t>
        </is>
      </c>
      <c r="C7" s="36" t="inlineStr">
        <is>
          <t>Bring closer in space or time objects or operations; assemble identical or similar parts; increase degree of unity.</t>
        </is>
      </c>
      <c r="D7" s="36" t="inlineStr">
        <is>
          <t>System-on-chip (SoC) merging CPU, GPU, memory controller; co-packaging of logic and HBM on the same interposer.</t>
        </is>
      </c>
      <c r="E7" s="36" t="inlineStr">
        <is>
          <t>Smartphone merging phone, camera, GPS, music player; combined shampoo-conditioner.</t>
        </is>
      </c>
    </row>
    <row r="8" ht="42" customHeight="1" s="104">
      <c r="A8" s="80" t="n">
        <v>6</v>
      </c>
      <c r="B8" s="81" t="inlineStr">
        <is>
          <t>Universality</t>
        </is>
      </c>
      <c r="C8" s="74" t="inlineStr">
        <is>
          <t>Make a part or object perform multiple functions, eliminating the need for other parts.</t>
        </is>
      </c>
      <c r="D8" s="74" t="inlineStr">
        <is>
          <t>Universal testing machine performing tensile, compression, and shear tests; multimeter measuring voltage, current, resistance.</t>
        </is>
      </c>
      <c r="E8" s="74" t="inlineStr">
        <is>
          <t>Sofa bed; Swiss Army knife; mobile phone replacing camera, compass, calculator.</t>
        </is>
      </c>
    </row>
    <row r="9" ht="42" customHeight="1" s="104">
      <c r="A9" s="80" t="n">
        <v>7</v>
      </c>
      <c r="B9" s="81" t="inlineStr">
        <is>
          <t>Nested doll</t>
        </is>
      </c>
      <c r="C9" s="36" t="inlineStr">
        <is>
          <t>Place one object inside another; pass one object through a cavity in another; increase the number of nesting levels.</t>
        </is>
      </c>
      <c r="D9" s="36" t="inlineStr">
        <is>
          <t>Telescoping antenna; retractable landing gear; nested heat exchangers.</t>
        </is>
      </c>
      <c r="E9" s="36" t="inlineStr">
        <is>
          <t>Russian matryoshka dolls; retractable ballpoint pen; collapsible measuring cup.</t>
        </is>
      </c>
    </row>
    <row r="10" ht="42" customHeight="1" s="104">
      <c r="A10" s="80" t="n">
        <v>8</v>
      </c>
      <c r="B10" s="81" t="inlineStr">
        <is>
          <t>Anti-weight</t>
        </is>
      </c>
      <c r="C10" s="74" t="inlineStr">
        <is>
          <t>Compensate for the weight of an object by merging it with another object that provides a lifting force.</t>
        </is>
      </c>
      <c r="D10" s="74" t="inlineStr">
        <is>
          <t>Counterweighted robotic arm reducing motor torque requirements; buoyancy-compensated underwater vehicle.</t>
        </is>
      </c>
      <c r="E10" s="74" t="inlineStr">
        <is>
          <t>Counterweight on a crane; helium balloon offsetting payload weight.</t>
        </is>
      </c>
    </row>
    <row r="11" ht="42" customHeight="1" s="104">
      <c r="A11" s="80" t="n">
        <v>9</v>
      </c>
      <c r="B11" s="81" t="inlineStr">
        <is>
          <t>Prior counteraction</t>
        </is>
      </c>
      <c r="C11" s="36" t="inlineStr">
        <is>
          <t>Pre-stress a component to compensate for undesirable working stress; if known in advance that an object will experience harmful tension, apply anti-tension beforehand.</t>
        </is>
      </c>
      <c r="D11" s="36" t="inlineStr">
        <is>
          <t>Pre-stressed concrete beams; pre-tensioned springs in mechanisms; pre-compressed seals.</t>
        </is>
      </c>
      <c r="E11" s="36" t="inlineStr">
        <is>
          <t>Compression stockings preventing swelling on long flights; pre-soaking wood before bending.</t>
        </is>
      </c>
    </row>
    <row r="12" ht="42" customHeight="1" s="104">
      <c r="A12" s="80" t="n">
        <v>10</v>
      </c>
      <c r="B12" s="81" t="inlineStr">
        <is>
          <t>Prior action</t>
        </is>
      </c>
      <c r="C12" s="74" t="inlineStr">
        <is>
          <t>Perform required changes to an object completely or partially in advance; pre-arrange objects so they can come into action without wasting time and from the most convenient position.</t>
        </is>
      </c>
      <c r="D12" s="74" t="inlineStr">
        <is>
          <t>Pre-applied adhesive on PCB pads; pre-loaded spring mechanisms; prefabricated construction modules.</t>
        </is>
      </c>
      <c r="E12" s="74" t="inlineStr">
        <is>
          <t>Pre-cut vegetables sold in supermarkets; coffee machine with timer; mise en place in cooking.</t>
        </is>
      </c>
    </row>
    <row r="13" ht="42" customHeight="1" s="104">
      <c r="A13" s="80" t="n">
        <v>11</v>
      </c>
      <c r="B13" s="81" t="inlineStr">
        <is>
          <t>Cushion in advance</t>
        </is>
      </c>
      <c r="C13" s="36" t="inlineStr">
        <is>
          <t>Compensate for the relatively low reliability of an object by preparing emergency means in advance.</t>
        </is>
      </c>
      <c r="D13" s="36" t="inlineStr">
        <is>
          <t>Redundant data storage (RAID); backup power supply (UPS); safety factor in structural design.</t>
        </is>
      </c>
      <c r="E13" s="36" t="inlineStr">
        <is>
          <t>Car spare tyre; airplane supplemental oxygen masks; emergency exit routes.</t>
        </is>
      </c>
    </row>
    <row r="14" ht="42" customHeight="1" s="104">
      <c r="A14" s="80" t="n">
        <v>12</v>
      </c>
      <c r="B14" s="81" t="inlineStr">
        <is>
          <t>Equipotentiality</t>
        </is>
      </c>
      <c r="C14" s="74" t="inlineStr">
        <is>
          <t>Change the operating conditions so that an object need not be raised or lowered.</t>
        </is>
      </c>
      <c r="D14" s="74" t="inlineStr">
        <is>
          <t>Pit stop design allowing cars to drive over mechanics without lifting; flush-mounted connectors.</t>
        </is>
      </c>
      <c r="E14" s="74" t="inlineStr">
        <is>
          <t>Canal locks equalising water levels; loading dock at truck-bed height eliminating forklifts.</t>
        </is>
      </c>
    </row>
    <row r="15" ht="42" customHeight="1" s="104">
      <c r="A15" s="80" t="n">
        <v>13</v>
      </c>
      <c r="B15" s="81" t="inlineStr">
        <is>
          <t>The other way round</t>
        </is>
      </c>
      <c r="C15" s="36" t="inlineStr">
        <is>
          <t>Invert the action used to solve the problem; make movable parts fixed and fixed parts movable; turn object upside down.</t>
        </is>
      </c>
      <c r="D15" s="36" t="inlineStr">
        <is>
          <t>Inverted microscope illuminating from above specimen; fixed wing with moving slats/flaps.</t>
        </is>
      </c>
      <c r="E15" s="36" t="inlineStr">
        <is>
          <t>Treadmill: person stays still, floor moves; revolving restaurant; self-checkout replacing cashier motion.</t>
        </is>
      </c>
    </row>
    <row r="16" ht="42" customHeight="1" s="104">
      <c r="A16" s="80" t="n">
        <v>14</v>
      </c>
      <c r="B16" s="81" t="inlineStr">
        <is>
          <t>Spheroidality / Curvature</t>
        </is>
      </c>
      <c r="C16" s="74" t="inlineStr">
        <is>
          <t>Move from flat surfaces to spherical ones; from linear to curvilinear; use rollers, balls, spirals, domes.</t>
        </is>
      </c>
      <c r="D16" s="74" t="inlineStr">
        <is>
          <t>Ball-grid array (BGA) solder joints; curved heat exchanger surfaces; helical gear reducing vibration.</t>
        </is>
      </c>
      <c r="E16" s="74" t="inlineStr">
        <is>
          <t>Ball bearings; arch bridge; dome stadium roof; spiral staircase.</t>
        </is>
      </c>
    </row>
    <row r="17" ht="42" customHeight="1" s="104">
      <c r="A17" s="80" t="n">
        <v>15</v>
      </c>
      <c r="B17" s="81" t="inlineStr">
        <is>
          <t>Dynamics</t>
        </is>
      </c>
      <c r="C17" s="36" t="inlineStr">
        <is>
          <t>Make the characteristics of an object, process, or environment adjustable or optimal at each stage; divide into parts capable of moving relative to each other; if an object or process is rigid, make it flexible or adaptive.</t>
        </is>
      </c>
      <c r="D17" s="36" t="inlineStr">
        <is>
          <t>Adaptive cruise control; dynamic underfill modulus changing with temperature; variable-stiffness suspension.</t>
        </is>
      </c>
      <c r="E17" s="36" t="inlineStr">
        <is>
          <t>Adjustable office chair; flex-straw; shape-memory alloy actuator; variable focal-length lens.</t>
        </is>
      </c>
    </row>
    <row r="18" ht="42" customHeight="1" s="104">
      <c r="A18" s="80" t="n">
        <v>16</v>
      </c>
      <c r="B18" s="81" t="inlineStr">
        <is>
          <t>Partial or excessive action</t>
        </is>
      </c>
      <c r="C18" s="74" t="inlineStr">
        <is>
          <t>If 100% of a desired effect is hard to achieve, get slightly more or slightly less to simplify the problem.</t>
        </is>
      </c>
      <c r="D18" s="74" t="inlineStr">
        <is>
          <t>Overspray then trim in coating processes; rough machining to near-net shape then finish grind.</t>
        </is>
      </c>
      <c r="E18" s="74" t="inlineStr">
        <is>
          <t>Paint roller applying slightly excess paint then smoothed; pouring slightly too much flour then levelling.</t>
        </is>
      </c>
    </row>
    <row r="19" ht="42" customHeight="1" s="104">
      <c r="A19" s="80" t="n">
        <v>17</v>
      </c>
      <c r="B19" s="81" t="inlineStr">
        <is>
          <t>Another dimension</t>
        </is>
      </c>
      <c r="C19" s="36" t="inlineStr">
        <is>
          <t>Move into a two- or three-dimensional space; use multi-layered arrangement; tilt or reorient the object.</t>
        </is>
      </c>
      <c r="D19" s="36" t="inlineStr">
        <is>
          <t>3D IC stacking dies vertically; multi-layer PCB routing; helical spring storing energy in 3D.</t>
        </is>
      </c>
      <c r="E19" s="36" t="inlineStr">
        <is>
          <t>Multi-storey car park; bunk beds; spiral ramp in a parking garage.</t>
        </is>
      </c>
    </row>
    <row r="20" ht="42" customHeight="1" s="104">
      <c r="A20" s="80" t="n">
        <v>18</v>
      </c>
      <c r="B20" s="81" t="inlineStr">
        <is>
          <t>Mechanical vibration</t>
        </is>
      </c>
      <c r="C20" s="74" t="inlineStr">
        <is>
          <t>Cause an object to oscillate or vibrate; if oscillation exists, increase its frequency to ultrasonic; use resonance; combine ultrasonic vibration with piezoelectric effect.</t>
        </is>
      </c>
      <c r="D20" s="74" t="inlineStr">
        <is>
          <t>Ultrasonic welding of plastics; vibration-assisted drilling reducing cutting force; ultrasonic cleaning.</t>
        </is>
      </c>
      <c r="E20" s="74" t="inlineStr">
        <is>
          <t>Electric toothbrush; concrete vibrator removing air bubbles; vibrating sieve grading particles.</t>
        </is>
      </c>
    </row>
    <row r="21" ht="42" customHeight="1" s="104">
      <c r="A21" s="80" t="n">
        <v>19</v>
      </c>
      <c r="B21" s="81" t="inlineStr">
        <is>
          <t>Periodic action</t>
        </is>
      </c>
      <c r="C21" s="36" t="inlineStr">
        <is>
          <t>Replace a continuous action with a periodic (impulse) one; if action is already periodic, change its frequency; use pauses between impulses to provide additional action.</t>
        </is>
      </c>
      <c r="D21" s="36" t="inlineStr">
        <is>
          <t>Pulsed laser cutting; intermittent windscreen wipers; pulse-width modulation in motor control.</t>
        </is>
      </c>
      <c r="E21" s="36" t="inlineStr">
        <is>
          <t>Flashing indicator light vs steady light; interval training in exercise; drip irrigation vs flooding.</t>
        </is>
      </c>
    </row>
    <row r="22" ht="42" customHeight="1" s="104">
      <c r="A22" s="80" t="n">
        <v>20</v>
      </c>
      <c r="B22" s="81" t="inlineStr">
        <is>
          <t>Continuity of useful action</t>
        </is>
      </c>
      <c r="C22" s="74" t="inlineStr">
        <is>
          <t>Carry on work continuously; make all parts of an object work at full load all the time; eliminate idle and intermediate motions.</t>
        </is>
      </c>
      <c r="D22" s="74" t="inlineStr">
        <is>
          <t>Continuous casting in steel manufacture; continuous flow chemistry reactors; CNC machining with no tool changes.</t>
        </is>
      </c>
      <c r="E22" s="74" t="inlineStr">
        <is>
          <t>Conveyor belt vs batch transport; 24-hour service; always-on SSD vs spinning hard disk.</t>
        </is>
      </c>
    </row>
    <row r="23" ht="42" customHeight="1" s="104">
      <c r="A23" s="80" t="n">
        <v>21</v>
      </c>
      <c r="B23" s="81" t="inlineStr">
        <is>
          <t>Rushing through</t>
        </is>
      </c>
      <c r="C23" s="36" t="inlineStr">
        <is>
          <t>Conduct a harmful or hazardous operation at very high speed.</t>
        </is>
      </c>
      <c r="D23" s="36" t="inlineStr">
        <is>
          <t>High-speed drilling through heat-sensitive composites minimising thermal damage; flash annealing.</t>
        </is>
      </c>
      <c r="E23" s="36" t="inlineStr">
        <is>
          <t>Ripping off a plaster quickly; high-speed dental drill minimising pain; sprint through cold water.</t>
        </is>
      </c>
    </row>
    <row r="24" ht="42" customHeight="1" s="104">
      <c r="A24" s="80" t="n">
        <v>22</v>
      </c>
      <c r="B24" s="81" t="inlineStr">
        <is>
          <t>Blessing in disguise</t>
        </is>
      </c>
      <c r="C24" s="74" t="inlineStr">
        <is>
          <t>Use harmful factors to obtain positive effect; eliminate a harmful factor by combining it with another harmful factor; amplify a harmful factor to the point it ceases to be harmful.</t>
        </is>
      </c>
      <c r="D24" s="74" t="inlineStr">
        <is>
          <t>Using waste heat from data centres for district heating; using vibration energy harvesting.</t>
        </is>
      </c>
      <c r="E24" s="74" t="inlineStr">
        <is>
          <t>Judo using opponent's force against them; compost from kitchen waste; noise-cancelling using destructive interference.</t>
        </is>
      </c>
    </row>
    <row r="25" ht="42" customHeight="1" s="104">
      <c r="A25" s="80" t="n">
        <v>23</v>
      </c>
      <c r="B25" s="81" t="inlineStr">
        <is>
          <t>Feedback</t>
        </is>
      </c>
      <c r="C25" s="36" t="inlineStr">
        <is>
          <t>Introduce feedback; if feedback already exists, change its magnitude or influence.</t>
        </is>
      </c>
      <c r="D25" s="36" t="inlineStr">
        <is>
          <t>Closed-loop temperature control in semiconductor furnaces; PID controller; ABS braking feedback.</t>
        </is>
      </c>
      <c r="E25" s="36" t="inlineStr">
        <is>
          <t>Thermostat; cruise control; autocorrect on smartphones; biofeedback wearables.</t>
        </is>
      </c>
    </row>
    <row r="26" ht="42" customHeight="1" s="104">
      <c r="A26" s="80" t="n">
        <v>24</v>
      </c>
      <c r="B26" s="81" t="inlineStr">
        <is>
          <t>Intermediary</t>
        </is>
      </c>
      <c r="C26" s="74" t="inlineStr">
        <is>
          <t>Use an intermediate object to carry, transmit, or buffer between components; use a disposable or inexpensive intermediate object.</t>
        </is>
      </c>
      <c r="D26" s="74" t="inlineStr">
        <is>
          <t>Thermal interface material between die and heat sink; flux as intermediary in soldering.</t>
        </is>
      </c>
      <c r="E26" s="74" t="inlineStr">
        <is>
          <t>Oven mitts; straw; translator between two parties; buffer zone between countries.</t>
        </is>
      </c>
    </row>
    <row r="27" ht="42" customHeight="1" s="104">
      <c r="A27" s="80" t="n">
        <v>25</v>
      </c>
      <c r="B27" s="81" t="inlineStr">
        <is>
          <t>Self-service</t>
        </is>
      </c>
      <c r="C27" s="36" t="inlineStr">
        <is>
          <t>Make an object serve itself by performing auxiliary and repair functions; use waste resources, energy, or substances.</t>
        </is>
      </c>
      <c r="D27" s="36" t="inlineStr">
        <is>
          <t>Self-cleaning optical surface using photocatalytic coating; self-lubricating bearing; self-healing polymer.</t>
        </is>
      </c>
      <c r="E27" s="36" t="inlineStr">
        <is>
          <t>Self-cleaning oven; self-watering plant pot; solar-powered garden light.</t>
        </is>
      </c>
    </row>
    <row r="28" ht="42" customHeight="1" s="104">
      <c r="A28" s="80" t="n">
        <v>26</v>
      </c>
      <c r="B28" s="81" t="inlineStr">
        <is>
          <t>Copying</t>
        </is>
      </c>
      <c r="C28" s="74" t="inlineStr">
        <is>
          <t>Use simpler, inexpensive copies instead of expensive or fragile originals; replace visual copies with optical; use infrared or ultraviolet copies.</t>
        </is>
      </c>
      <c r="D28" s="74" t="inlineStr">
        <is>
          <t>Digital twin simulation instead of physical prototype; X-ray inspection replacing destructive testing.</t>
        </is>
      </c>
      <c r="E28" s="74" t="inlineStr">
        <is>
          <t>Map instead of visiting territory; crash test dummy; video call instead of travel; mannequin.</t>
        </is>
      </c>
    </row>
    <row r="29" ht="42" customHeight="1" s="104">
      <c r="A29" s="80" t="n">
        <v>27</v>
      </c>
      <c r="B29" s="81" t="inlineStr">
        <is>
          <t>Cheap short-living objects</t>
        </is>
      </c>
      <c r="C29" s="36" t="inlineStr">
        <is>
          <t>Replace an expensive durable object with a collection of inexpensive objects, compromising certain qualities (such as service life).</t>
        </is>
      </c>
      <c r="D29" s="36" t="inlineStr">
        <is>
          <t>Disposable tooling inserts in machining; single-use microfluidic chips; throwaway test PCBs.</t>
        </is>
      </c>
      <c r="E29" s="36" t="inlineStr">
        <is>
          <t>Paper cups instead of washing glasses; disposable syringe; single-use camera; paper plate.</t>
        </is>
      </c>
    </row>
    <row r="30" ht="42" customHeight="1" s="104">
      <c r="A30" s="80" t="n">
        <v>28</v>
      </c>
      <c r="B30" s="81" t="inlineStr">
        <is>
          <t>Replace mechanical system</t>
        </is>
      </c>
      <c r="C30" s="74" t="inlineStr">
        <is>
          <t>Replace a mechanical system with an optical, acoustic, thermal, or olfactory system.</t>
        </is>
      </c>
      <c r="D30" s="74" t="inlineStr">
        <is>
          <t>Laser alignment replacing mechanical jigs; optical fibre replacing copper wire; thermal imaging for inspection.</t>
        </is>
      </c>
      <c r="E30" s="74" t="inlineStr">
        <is>
          <t>Electronic key fob replacing metal key; voice command replacing physical button; GPS replacing paper map.</t>
        </is>
      </c>
    </row>
    <row r="31" ht="42" customHeight="1" s="104">
      <c r="A31" s="80" t="n">
        <v>29</v>
      </c>
      <c r="B31" s="81" t="inlineStr">
        <is>
          <t>Pneumatics &amp; hydraulics</t>
        </is>
      </c>
      <c r="C31" s="36" t="inlineStr">
        <is>
          <t>Use gas or liquid parts of an object instead of solid parts; use air, water, gas or foam.</t>
        </is>
      </c>
      <c r="D31" s="36" t="inlineStr">
        <is>
          <t>Pneumatic actuators in assembly robots; hydraulic forming of metal sheets; inflatable deployable structures.</t>
        </is>
      </c>
      <c r="E31" s="36" t="inlineStr">
        <is>
          <t>Air mattress; hydraulic car jack; inflatable boat; pneumatic post system.</t>
        </is>
      </c>
    </row>
    <row r="32" ht="42" customHeight="1" s="104">
      <c r="A32" s="80" t="n">
        <v>30</v>
      </c>
      <c r="B32" s="81" t="inlineStr">
        <is>
          <t>Flexible membranes &amp; thin films</t>
        </is>
      </c>
      <c r="C32" s="74" t="inlineStr">
        <is>
          <t>Use flexible shells and thin films instead of three-dimensional structures; isolate the object from the environment using flexible shells and thin films.</t>
        </is>
      </c>
      <c r="D32" s="74" t="inlineStr">
        <is>
          <t>Thin-film transistors; flexible PCBs in wearables; dielectric films in capacitors.</t>
        </is>
      </c>
      <c r="E32" s="74" t="inlineStr">
        <is>
          <t>Cling film for food storage; bubble wrap; wetsuit; inflatable greenhouse tunnel.</t>
        </is>
      </c>
    </row>
    <row r="33" ht="42" customHeight="1" s="104">
      <c r="A33" s="80" t="n">
        <v>31</v>
      </c>
      <c r="B33" s="81" t="inlineStr">
        <is>
          <t>Porous materials</t>
        </is>
      </c>
      <c r="C33" s="36" t="inlineStr">
        <is>
          <t>Make an object porous or use supplementary porous elements; if already porous, use the pores to introduce a useful substance or function.</t>
        </is>
      </c>
      <c r="D33" s="36" t="inlineStr">
        <is>
          <t>Porous silicon for MEMS sensors; sintered porous metal bearings self-lubricating with stored oil.</t>
        </is>
      </c>
      <c r="E33" s="36" t="inlineStr">
        <is>
          <t>Sponge; bread rising with CO2 bubbles; activated charcoal filter; memory foam.</t>
        </is>
      </c>
    </row>
    <row r="34" ht="42" customHeight="1" s="104">
      <c r="A34" s="80" t="n">
        <v>32</v>
      </c>
      <c r="B34" s="81" t="inlineStr">
        <is>
          <t>Colour changes</t>
        </is>
      </c>
      <c r="C34" s="74" t="inlineStr">
        <is>
          <t>Change the colour of an object or its environment; change the transparency of an object; use colour additives to observe otherwise invisible processes.</t>
        </is>
      </c>
      <c r="D34" s="74" t="inlineStr">
        <is>
          <t>Thermochromic ink for temperature indication on packaging; UV-sensitive material for alignment.</t>
        </is>
      </c>
      <c r="E34" s="74" t="inlineStr">
        <is>
          <t>Mood ring; litmus paper; chameleon camouflage; traffic light; sunburn indicator sticker.</t>
        </is>
      </c>
    </row>
    <row r="35" ht="42" customHeight="1" s="104">
      <c r="A35" s="80" t="n">
        <v>33</v>
      </c>
      <c r="B35" s="81" t="inlineStr">
        <is>
          <t>Homogeneity</t>
        </is>
      </c>
      <c r="C35" s="36" t="inlineStr">
        <is>
          <t>Make objects interacting with a given object of the same material (or material with identical properties).</t>
        </is>
      </c>
      <c r="D35" s="36" t="inlineStr">
        <is>
          <t>Ice tools in cryogenic processes to avoid contamination; silicon tooling for silicon wafer handling.</t>
        </is>
      </c>
      <c r="E35" s="36" t="inlineStr">
        <is>
          <t>Ice tray made of ice for keeping drinks cold; same-material welding rod; wooden spoon in wooden bowl.</t>
        </is>
      </c>
    </row>
    <row r="36" ht="42" customHeight="1" s="104">
      <c r="A36" s="80" t="n">
        <v>34</v>
      </c>
      <c r="B36" s="81" t="inlineStr">
        <is>
          <t>Discarding &amp; recovering</t>
        </is>
      </c>
      <c r="C36" s="74" t="inlineStr">
        <is>
          <t>Make portions of an object that have fulfilled their functions disappear or modify directly during operation; restore consumable parts of an object directly in operation.</t>
        </is>
      </c>
      <c r="D36" s="74" t="inlineStr">
        <is>
          <t>Soluble sacrificial layer in MEMS fabrication; biodegradable packaging; self-erasing security labels.</t>
        </is>
      </c>
      <c r="E36" s="74" t="inlineStr">
        <is>
          <t>Dissolving stitches in surgery; ice sculpture melting after event; edible food packaging.</t>
        </is>
      </c>
    </row>
    <row r="37" ht="42" customHeight="1" s="104">
      <c r="A37" s="80" t="n">
        <v>35</v>
      </c>
      <c r="B37" s="81" t="inlineStr">
        <is>
          <t>Parameter change</t>
        </is>
      </c>
      <c r="C37" s="36" t="inlineStr">
        <is>
          <t>Change an object's physical state; change the concentration or consistency; change the degree of flexibility; change the temperature or volume.</t>
        </is>
      </c>
      <c r="D37" s="36" t="inlineStr">
        <is>
          <t>Changing MUF modulus by tuning Tg; phase-change thermal interface materials; shape-memory alloys.</t>
        </is>
      </c>
      <c r="E37" s="36" t="inlineStr">
        <is>
          <t>Flat-pack furniture assembled at destination; concentrated juice diluted at home; deflating a tyre for beach driving.</t>
        </is>
      </c>
    </row>
    <row r="38" ht="42" customHeight="1" s="104">
      <c r="A38" s="80" t="n">
        <v>36</v>
      </c>
      <c r="B38" s="81" t="inlineStr">
        <is>
          <t>Phase transition</t>
        </is>
      </c>
      <c r="C38" s="74" t="inlineStr">
        <is>
          <t>Implement effects occurring during phase transitions (e.g. volume changes, heat absorption or liberation).</t>
        </is>
      </c>
      <c r="D38" s="74" t="inlineStr">
        <is>
          <t>Phase-change materials (PCM) storing thermal energy; vapour chamber heat spreaders using liquid-vapour cycle.</t>
        </is>
      </c>
      <c r="E38" s="74" t="inlineStr">
        <is>
          <t>Ice pack cooling via melting; heat pipe; steam engine; dry ice sublimation for cooling.</t>
        </is>
      </c>
    </row>
    <row r="39" ht="42" customHeight="1" s="104">
      <c r="A39" s="80" t="n">
        <v>37</v>
      </c>
      <c r="B39" s="81" t="inlineStr">
        <is>
          <t>Thermal expansion</t>
        </is>
      </c>
      <c r="C39" s="36" t="inlineStr">
        <is>
          <t>Use thermal expansion or contraction of materials; use materials with different coefficients of thermal expansion.</t>
        </is>
      </c>
      <c r="D39" s="36" t="inlineStr">
        <is>
          <t>Bimetallic strip thermostat; shrink-fit assembly of gears on shafts; CTE-matched substrates.</t>
        </is>
      </c>
      <c r="E39" s="36" t="inlineStr">
        <is>
          <t>Expansion joints in bridges and rail tracks; jar lid loosened by heating; glass jar opened under warm water.</t>
        </is>
      </c>
    </row>
    <row r="40" ht="42" customHeight="1" s="104">
      <c r="A40" s="80" t="n">
        <v>38</v>
      </c>
      <c r="B40" s="81" t="inlineStr">
        <is>
          <t>Accelerated oxidation</t>
        </is>
      </c>
      <c r="C40" s="74" t="inlineStr">
        <is>
          <t>Replace ordinary air with oxygen-enriched air; replace enriched air with pure oxygen; use ionised oxygen or ozone; replace ozonised oxygen with ozone.</t>
        </is>
      </c>
      <c r="D40" s="74" t="inlineStr">
        <is>
          <t>Oxygen-enriched combustion in furnaces for higher temperatures; ozone treatment for sterilisation.</t>
        </is>
      </c>
      <c r="E40" s="74" t="inlineStr">
        <is>
          <t>Oxygen bar; accelerated ageing test using ozone; pure oxygen in diving rebreathers.</t>
        </is>
      </c>
    </row>
    <row r="41" ht="42" customHeight="1" s="104">
      <c r="A41" s="80" t="n">
        <v>39</v>
      </c>
      <c r="B41" s="81" t="inlineStr">
        <is>
          <t>Inert atmosphere</t>
        </is>
      </c>
      <c r="C41" s="36" t="inlineStr">
        <is>
          <t>Replace a normal environment with an inert one; carry out the process in a vacuum.</t>
        </is>
      </c>
      <c r="D41" s="36" t="inlineStr">
        <is>
          <t>Nitrogen-purged soldering reflow ovens preventing oxidation; vacuum deposition of thin films.</t>
        </is>
      </c>
      <c r="E41" s="36" t="inlineStr">
        <is>
          <t>Vacuum-sealed food packaging; inert gas wine preservation; argon-filled double-glazing.</t>
        </is>
      </c>
    </row>
    <row r="42" ht="42" customHeight="1" s="104">
      <c r="A42" s="80" t="n">
        <v>40</v>
      </c>
      <c r="B42" s="81" t="inlineStr">
        <is>
          <t>Composite materials</t>
        </is>
      </c>
      <c r="C42" s="74" t="inlineStr">
        <is>
          <t>Transition from homogeneous to composite (multiple) materials.</t>
        </is>
      </c>
      <c r="D42" s="74" t="inlineStr">
        <is>
          <t>Carbon-fibre reinforced polymer (CFRP) structures; metal-matrix composites; EMC mold with embedded Cu HRL.</t>
        </is>
      </c>
      <c r="E42" s="74" t="inlineStr">
        <is>
          <t>Reinforced concrete (steel + concrete); plywood; Gore-Tex fabric; fibre-optic cable.</t>
        </is>
      </c>
    </row>
  </sheetData>
  <mergeCells count="1"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Weight of moving object</t>
        </is>
      </c>
      <c r="C1" t="inlineStr">
        <is>
          <t>1. Weight of moving object||1. Weight of moving object</t>
        </is>
      </c>
      <c r="D1" t="inlineStr">
        <is>
          <t>—</t>
        </is>
      </c>
    </row>
    <row r="2">
      <c r="A2" t="inlineStr">
        <is>
          <t>2. Weight of stationary object</t>
        </is>
      </c>
      <c r="C2" t="inlineStr">
        <is>
          <t>1. Weight of moving object||2. Weight of stationary object</t>
        </is>
      </c>
      <c r="D2" t="inlineStr">
        <is>
          <t>15,8,29,34</t>
        </is>
      </c>
    </row>
    <row r="3">
      <c r="A3" t="inlineStr">
        <is>
          <t>3. Length of moving object</t>
        </is>
      </c>
      <c r="C3" t="inlineStr">
        <is>
          <t>1. Weight of moving object||3. Length of moving object</t>
        </is>
      </c>
      <c r="D3" t="inlineStr">
        <is>
          <t>29,17,38,34</t>
        </is>
      </c>
    </row>
    <row r="4">
      <c r="A4" t="inlineStr">
        <is>
          <t>4. Length of stationary object</t>
        </is>
      </c>
      <c r="C4" t="inlineStr">
        <is>
          <t>1. Weight of moving object||5. Area of moving object</t>
        </is>
      </c>
      <c r="D4" t="inlineStr">
        <is>
          <t>29,2,40,28</t>
        </is>
      </c>
    </row>
    <row r="5">
      <c r="A5" t="inlineStr">
        <is>
          <t>5. Area of moving object</t>
        </is>
      </c>
      <c r="C5" t="inlineStr">
        <is>
          <t>1. Weight of moving object||7. Volume of moving object</t>
        </is>
      </c>
      <c r="D5" t="inlineStr">
        <is>
          <t>2,8,15,38</t>
        </is>
      </c>
    </row>
    <row r="6">
      <c r="A6" t="inlineStr">
        <is>
          <t>6. Area of stationary object</t>
        </is>
      </c>
      <c r="C6" t="inlineStr">
        <is>
          <t>1. Weight of moving object||9. Speed</t>
        </is>
      </c>
      <c r="D6" t="inlineStr">
        <is>
          <t>2,28,13,38</t>
        </is>
      </c>
    </row>
    <row r="7">
      <c r="A7" t="inlineStr">
        <is>
          <t>7. Volume of moving object</t>
        </is>
      </c>
      <c r="C7" t="inlineStr">
        <is>
          <t>1. Weight of moving object||10. Force</t>
        </is>
      </c>
      <c r="D7" t="inlineStr">
        <is>
          <t>8,1,37,18</t>
        </is>
      </c>
    </row>
    <row r="8">
      <c r="A8" t="inlineStr">
        <is>
          <t>8. Volume of stationary object</t>
        </is>
      </c>
      <c r="C8" t="inlineStr">
        <is>
          <t>1. Weight of moving object||11. Stress or pressure</t>
        </is>
      </c>
      <c r="D8" t="inlineStr">
        <is>
          <t>17,10,4</t>
        </is>
      </c>
    </row>
    <row r="9">
      <c r="A9" t="inlineStr">
        <is>
          <t>9. Speed</t>
        </is>
      </c>
      <c r="C9" t="inlineStr">
        <is>
          <t>1. Weight of moving object||12. Shape</t>
        </is>
      </c>
      <c r="D9" t="inlineStr">
        <is>
          <t>1,8,15,34</t>
        </is>
      </c>
    </row>
    <row r="10">
      <c r="A10" t="inlineStr">
        <is>
          <t>10. Force</t>
        </is>
      </c>
      <c r="C10" t="inlineStr">
        <is>
          <t>1. Weight of moving object||13. Stability of object composition</t>
        </is>
      </c>
      <c r="D10" t="inlineStr">
        <is>
          <t>28,10</t>
        </is>
      </c>
    </row>
    <row r="11">
      <c r="A11" t="inlineStr">
        <is>
          <t>11. Stress or pressure</t>
        </is>
      </c>
      <c r="C11" t="inlineStr">
        <is>
          <t>1. Weight of moving object||14. Strength</t>
        </is>
      </c>
      <c r="D11" t="inlineStr">
        <is>
          <t>1,8,40,15</t>
        </is>
      </c>
    </row>
    <row r="12">
      <c r="A12" t="inlineStr">
        <is>
          <t>12. Shape</t>
        </is>
      </c>
      <c r="C12" t="inlineStr">
        <is>
          <t>1. Weight of moving object||15. Duration of action - moving</t>
        </is>
      </c>
      <c r="D12" t="inlineStr">
        <is>
          <t>15,14,28,26</t>
        </is>
      </c>
    </row>
    <row r="13">
      <c r="A13" t="inlineStr">
        <is>
          <t>13. Stability of object composition</t>
        </is>
      </c>
      <c r="C13" t="inlineStr">
        <is>
          <t>1. Weight of moving object||17. Temperature</t>
        </is>
      </c>
      <c r="D13" t="inlineStr">
        <is>
          <t>35,10,3,21</t>
        </is>
      </c>
    </row>
    <row r="14">
      <c r="A14" t="inlineStr">
        <is>
          <t>14. Strength</t>
        </is>
      </c>
      <c r="C14" t="inlineStr">
        <is>
          <t>1. Weight of moving object||19. Use of energy by moving object</t>
        </is>
      </c>
      <c r="D14" t="inlineStr">
        <is>
          <t>35,19,18,37</t>
        </is>
      </c>
    </row>
    <row r="15">
      <c r="A15" t="inlineStr">
        <is>
          <t>15. Duration of action - moving</t>
        </is>
      </c>
      <c r="C15" t="inlineStr">
        <is>
          <t>1. Weight of moving object||21. Power</t>
        </is>
      </c>
      <c r="D15" t="inlineStr">
        <is>
          <t>12,18,28,31</t>
        </is>
      </c>
    </row>
    <row r="16">
      <c r="A16" t="inlineStr">
        <is>
          <t>16. Duration of action - stationary</t>
        </is>
      </c>
      <c r="C16" t="inlineStr">
        <is>
          <t>1. Weight of moving object||22. Loss of energy</t>
        </is>
      </c>
      <c r="D16" t="inlineStr">
        <is>
          <t>6,2,34,19</t>
        </is>
      </c>
    </row>
    <row r="17">
      <c r="A17" t="inlineStr">
        <is>
          <t>17. Temperature</t>
        </is>
      </c>
      <c r="C17" t="inlineStr">
        <is>
          <t>1. Weight of moving object||23. Loss of substance</t>
        </is>
      </c>
      <c r="D17" t="inlineStr">
        <is>
          <t>5,35,3,31</t>
        </is>
      </c>
    </row>
    <row r="18">
      <c r="A18" t="inlineStr">
        <is>
          <t>18. Illumination intensity</t>
        </is>
      </c>
      <c r="C18" t="inlineStr">
        <is>
          <t>1. Weight of moving object||25. Loss of time</t>
        </is>
      </c>
      <c r="D18" t="inlineStr">
        <is>
          <t>10,24,35,19</t>
        </is>
      </c>
    </row>
    <row r="19">
      <c r="A19" t="inlineStr">
        <is>
          <t>19. Use of energy by moving object</t>
        </is>
      </c>
      <c r="C19" t="inlineStr">
        <is>
          <t>1. Weight of moving object||26. Amount of substance</t>
        </is>
      </c>
      <c r="D19" t="inlineStr">
        <is>
          <t>35,26</t>
        </is>
      </c>
    </row>
    <row r="20">
      <c r="A20" t="inlineStr">
        <is>
          <t>20. Use of energy by stationary object</t>
        </is>
      </c>
      <c r="C20" t="inlineStr">
        <is>
          <t>1. Weight of moving object||27. Reliability</t>
        </is>
      </c>
      <c r="D20" t="inlineStr">
        <is>
          <t>22,21,40,4</t>
        </is>
      </c>
    </row>
    <row r="21">
      <c r="A21" t="inlineStr">
        <is>
          <t>21. Power</t>
        </is>
      </c>
      <c r="C21" t="inlineStr">
        <is>
          <t>1. Weight of moving object||28. Measurement accuracy</t>
        </is>
      </c>
      <c r="D21" t="inlineStr">
        <is>
          <t>28,32,1,24</t>
        </is>
      </c>
    </row>
    <row r="22">
      <c r="A22" t="inlineStr">
        <is>
          <t>22. Loss of energy</t>
        </is>
      </c>
      <c r="C22" t="inlineStr">
        <is>
          <t>1. Weight of moving object||29. Manufacturing precision</t>
        </is>
      </c>
      <c r="D22" t="inlineStr">
        <is>
          <t>28,32,13,18</t>
        </is>
      </c>
    </row>
    <row r="23">
      <c r="A23" t="inlineStr">
        <is>
          <t>23. Loss of substance</t>
        </is>
      </c>
      <c r="C23" t="inlineStr">
        <is>
          <t>1. Weight of moving object||30. Object-generated harmful effects</t>
        </is>
      </c>
      <c r="D23" t="inlineStr">
        <is>
          <t>22,21,18,27</t>
        </is>
      </c>
    </row>
    <row r="24">
      <c r="A24" t="inlineStr">
        <is>
          <t>24. Loss of information</t>
        </is>
      </c>
      <c r="C24" t="inlineStr">
        <is>
          <t>1. Weight of moving object||31. Harmful side effects</t>
        </is>
      </c>
      <c r="D24" t="inlineStr">
        <is>
          <t>22,35,31,39</t>
        </is>
      </c>
    </row>
    <row r="25">
      <c r="A25" t="inlineStr">
        <is>
          <t>25. Loss of time</t>
        </is>
      </c>
      <c r="C25" t="inlineStr">
        <is>
          <t>1. Weight of moving object||32. Ease of manufacture</t>
        </is>
      </c>
      <c r="D25" t="inlineStr">
        <is>
          <t>27,28,1,36</t>
        </is>
      </c>
    </row>
    <row r="26">
      <c r="A26" t="inlineStr">
        <is>
          <t>26. Amount of substance</t>
        </is>
      </c>
      <c r="C26" t="inlineStr">
        <is>
          <t>1. Weight of moving object||33. Ease of operation</t>
        </is>
      </c>
      <c r="D26" t="inlineStr">
        <is>
          <t>35,3,2,24</t>
        </is>
      </c>
    </row>
    <row r="27">
      <c r="A27" t="inlineStr">
        <is>
          <t>27. Reliability</t>
        </is>
      </c>
      <c r="C27" t="inlineStr">
        <is>
          <t>1. Weight of moving object||34. Ease of repair</t>
        </is>
      </c>
      <c r="D27" t="inlineStr">
        <is>
          <t>29,3,8,25</t>
        </is>
      </c>
    </row>
    <row r="28">
      <c r="A28" t="inlineStr">
        <is>
          <t>28. Measurement accuracy</t>
        </is>
      </c>
      <c r="C28" t="inlineStr">
        <is>
          <t>1. Weight of moving object||35. Adaptability or versatility</t>
        </is>
      </c>
      <c r="D28" t="inlineStr">
        <is>
          <t>1,28,35,6</t>
        </is>
      </c>
    </row>
    <row r="29">
      <c r="A29" t="inlineStr">
        <is>
          <t>29. Manufacturing precision</t>
        </is>
      </c>
      <c r="C29" t="inlineStr">
        <is>
          <t>1. Weight of moving object||36. Device complexity</t>
        </is>
      </c>
      <c r="D29" t="inlineStr">
        <is>
          <t>26,27,13</t>
        </is>
      </c>
    </row>
    <row r="30">
      <c r="A30" t="inlineStr">
        <is>
          <t>30. Object-generated harmful effects</t>
        </is>
      </c>
      <c r="C30" t="inlineStr">
        <is>
          <t>1. Weight of moving object||37. Difficulty of detecting and measuring</t>
        </is>
      </c>
      <c r="D30" t="inlineStr">
        <is>
          <t>28,26,18,35</t>
        </is>
      </c>
    </row>
    <row r="31">
      <c r="A31" t="inlineStr">
        <is>
          <t>31. Harmful side effects</t>
        </is>
      </c>
      <c r="C31" t="inlineStr">
        <is>
          <t>1. Weight of moving object||38. Extent of automation</t>
        </is>
      </c>
      <c r="D31" t="inlineStr">
        <is>
          <t>22,21,18,27</t>
        </is>
      </c>
    </row>
    <row r="32">
      <c r="A32" t="inlineStr">
        <is>
          <t>32. Ease of manufacture</t>
        </is>
      </c>
      <c r="C32" t="inlineStr">
        <is>
          <t>1. Weight of moving object||39. Productivity</t>
        </is>
      </c>
      <c r="D32" t="inlineStr">
        <is>
          <t>35,26,24,37</t>
        </is>
      </c>
    </row>
    <row r="33">
      <c r="A33" t="inlineStr">
        <is>
          <t>33. Ease of operation</t>
        </is>
      </c>
      <c r="C33" t="inlineStr">
        <is>
          <t>2. Weight of stationary object||1. Weight of moving object</t>
        </is>
      </c>
      <c r="D33" t="inlineStr">
        <is>
          <t>10,1,29,35</t>
        </is>
      </c>
    </row>
    <row r="34">
      <c r="A34" t="inlineStr">
        <is>
          <t>34. Ease of repair</t>
        </is>
      </c>
      <c r="C34" t="inlineStr">
        <is>
          <t>2. Weight of stationary object||2. Weight of stationary object</t>
        </is>
      </c>
      <c r="D34" t="inlineStr">
        <is>
          <t>—</t>
        </is>
      </c>
    </row>
    <row r="35">
      <c r="A35" t="inlineStr">
        <is>
          <t>35. Adaptability or versatility</t>
        </is>
      </c>
      <c r="C35" t="inlineStr">
        <is>
          <t>2. Weight of stationary object||4. Length of stationary object</t>
        </is>
      </c>
      <c r="D35" t="inlineStr">
        <is>
          <t>35,28,40,29</t>
        </is>
      </c>
    </row>
    <row r="36">
      <c r="A36" t="inlineStr">
        <is>
          <t>36. Device complexity</t>
        </is>
      </c>
      <c r="C36" t="inlineStr">
        <is>
          <t>2. Weight of stationary object||6. Area of stationary object</t>
        </is>
      </c>
      <c r="D36" t="inlineStr">
        <is>
          <t>17,28</t>
        </is>
      </c>
    </row>
    <row r="37">
      <c r="A37" t="inlineStr">
        <is>
          <t>37. Difficulty of detecting and measuring</t>
        </is>
      </c>
      <c r="C37" t="inlineStr">
        <is>
          <t>2. Weight of stationary object||8. Volume of stationary object</t>
        </is>
      </c>
      <c r="D37" t="inlineStr">
        <is>
          <t>10,28,19,39</t>
        </is>
      </c>
    </row>
    <row r="38">
      <c r="A38" t="inlineStr">
        <is>
          <t>38. Extent of automation</t>
        </is>
      </c>
      <c r="C38" t="inlineStr">
        <is>
          <t>2. Weight of stationary object||10. Force</t>
        </is>
      </c>
      <c r="D38" t="inlineStr">
        <is>
          <t>8,10,19,35</t>
        </is>
      </c>
    </row>
    <row r="39">
      <c r="A39" t="inlineStr">
        <is>
          <t>39. Productivity</t>
        </is>
      </c>
      <c r="C39" t="inlineStr">
        <is>
          <t>2. Weight of stationary object||11. Stress or pressure</t>
        </is>
      </c>
      <c r="D39" t="inlineStr">
        <is>
          <t>13,19,10,37</t>
        </is>
      </c>
    </row>
    <row r="40">
      <c r="C40" t="inlineStr">
        <is>
          <t>2. Weight of stationary object||12. Shape</t>
        </is>
      </c>
      <c r="D40" t="inlineStr">
        <is>
          <t>17,9,15</t>
        </is>
      </c>
    </row>
    <row r="41">
      <c r="C41" t="inlineStr">
        <is>
          <t>2. Weight of stationary object||13. Stability of object composition</t>
        </is>
      </c>
      <c r="D41" t="inlineStr">
        <is>
          <t>28,10</t>
        </is>
      </c>
    </row>
    <row r="42">
      <c r="C42" t="inlineStr">
        <is>
          <t>2. Weight of stationary object||14. Strength</t>
        </is>
      </c>
      <c r="D42" t="inlineStr">
        <is>
          <t>10,28,8</t>
        </is>
      </c>
    </row>
    <row r="43">
      <c r="C43" t="inlineStr">
        <is>
          <t>2. Weight of stationary object||16. Duration of action - stationary</t>
        </is>
      </c>
      <c r="D43" t="inlineStr">
        <is>
          <t>35,10,21</t>
        </is>
      </c>
    </row>
    <row r="44">
      <c r="C44" t="inlineStr">
        <is>
          <t>2. Weight of stationary object||20. Use of energy by stationary object</t>
        </is>
      </c>
      <c r="D44" t="inlineStr">
        <is>
          <t>19,18,36,40</t>
        </is>
      </c>
    </row>
    <row r="45">
      <c r="C45" t="inlineStr">
        <is>
          <t>2. Weight of stationary object||22. Loss of energy</t>
        </is>
      </c>
      <c r="D45" t="inlineStr">
        <is>
          <t>18,19,28,1</t>
        </is>
      </c>
    </row>
    <row r="46">
      <c r="C46" t="inlineStr">
        <is>
          <t>2. Weight of stationary object||23. Loss of substance</t>
        </is>
      </c>
      <c r="D46" t="inlineStr">
        <is>
          <t>15,18,35,34</t>
        </is>
      </c>
    </row>
    <row r="47">
      <c r="C47" t="inlineStr">
        <is>
          <t>2. Weight of stationary object||25. Loss of time</t>
        </is>
      </c>
      <c r="D47" t="inlineStr">
        <is>
          <t>10,20,26,5</t>
        </is>
      </c>
    </row>
    <row r="48">
      <c r="C48" t="inlineStr">
        <is>
          <t>2. Weight of stationary object||27. Reliability</t>
        </is>
      </c>
      <c r="D48" t="inlineStr">
        <is>
          <t>10,35,29,39</t>
        </is>
      </c>
    </row>
    <row r="49">
      <c r="C49" t="inlineStr">
        <is>
          <t>2. Weight of stationary object||28. Measurement accuracy</t>
        </is>
      </c>
      <c r="D49" t="inlineStr">
        <is>
          <t>28,32,10</t>
        </is>
      </c>
    </row>
    <row r="50">
      <c r="C50" t="inlineStr">
        <is>
          <t>2. Weight of stationary object||29. Manufacturing precision</t>
        </is>
      </c>
      <c r="D50" t="inlineStr">
        <is>
          <t>28,32,10</t>
        </is>
      </c>
    </row>
    <row r="51">
      <c r="C51" t="inlineStr">
        <is>
          <t>2. Weight of stationary object||30. Object-generated harmful effects</t>
        </is>
      </c>
      <c r="D51" t="inlineStr">
        <is>
          <t>35,11,22,31</t>
        </is>
      </c>
    </row>
    <row r="52">
      <c r="C52" t="inlineStr">
        <is>
          <t>2. Weight of stationary object||31. Harmful side effects</t>
        </is>
      </c>
      <c r="D52" t="inlineStr">
        <is>
          <t>22,19,29,40</t>
        </is>
      </c>
    </row>
    <row r="53">
      <c r="C53" t="inlineStr">
        <is>
          <t>2. Weight of stationary object||32. Ease of manufacture</t>
        </is>
      </c>
      <c r="D53" t="inlineStr">
        <is>
          <t>35,10,16</t>
        </is>
      </c>
    </row>
    <row r="54">
      <c r="C54" t="inlineStr">
        <is>
          <t>2. Weight of stationary object||33. Ease of operation</t>
        </is>
      </c>
      <c r="D54" t="inlineStr">
        <is>
          <t>1,6</t>
        </is>
      </c>
    </row>
    <row r="55">
      <c r="C55" t="inlineStr">
        <is>
          <t>2. Weight of stationary object||34. Ease of repair</t>
        </is>
      </c>
      <c r="D55" t="inlineStr">
        <is>
          <t>13,1,26,24</t>
        </is>
      </c>
    </row>
    <row r="56">
      <c r="C56" t="inlineStr">
        <is>
          <t>2. Weight of stationary object||35. Adaptability or versatility</t>
        </is>
      </c>
      <c r="D56" t="inlineStr">
        <is>
          <t>15,29,28</t>
        </is>
      </c>
    </row>
    <row r="57">
      <c r="C57" t="inlineStr">
        <is>
          <t>2. Weight of stationary object||36. Device complexity</t>
        </is>
      </c>
      <c r="D57" t="inlineStr">
        <is>
          <t>26</t>
        </is>
      </c>
    </row>
    <row r="58">
      <c r="C58" t="inlineStr">
        <is>
          <t>2. Weight of stationary object||37. Difficulty of detecting and measuring</t>
        </is>
      </c>
      <c r="D58" t="inlineStr">
        <is>
          <t>30,10,14,1</t>
        </is>
      </c>
    </row>
    <row r="59">
      <c r="C59" t="inlineStr">
        <is>
          <t>2. Weight of stationary object||38. Extent of automation</t>
        </is>
      </c>
      <c r="D59" t="inlineStr">
        <is>
          <t>30,10,14,1</t>
        </is>
      </c>
    </row>
    <row r="60">
      <c r="C60" t="inlineStr">
        <is>
          <t>2. Weight of stationary object||39. Productivity</t>
        </is>
      </c>
      <c r="D60" t="inlineStr">
        <is>
          <t>1,10,34,28</t>
        </is>
      </c>
    </row>
    <row r="61">
      <c r="C61" t="inlineStr">
        <is>
          <t>3. Length of moving object||1. Weight of moving object</t>
        </is>
      </c>
      <c r="D61" t="inlineStr">
        <is>
          <t>8,15,29,34</t>
        </is>
      </c>
    </row>
    <row r="62">
      <c r="C62" t="inlineStr">
        <is>
          <t>3. Length of moving object||3. Length of moving object</t>
        </is>
      </c>
      <c r="D62" t="inlineStr">
        <is>
          <t>—</t>
        </is>
      </c>
    </row>
    <row r="63">
      <c r="C63" t="inlineStr">
        <is>
          <t>3. Length of moving object||4. Length of stationary object</t>
        </is>
      </c>
      <c r="D63" t="inlineStr">
        <is>
          <t>15,17,4</t>
        </is>
      </c>
    </row>
    <row r="64">
      <c r="C64" t="inlineStr">
        <is>
          <t>3. Length of moving object||5. Area of moving object</t>
        </is>
      </c>
      <c r="D64" t="inlineStr">
        <is>
          <t>7,17,4,35</t>
        </is>
      </c>
    </row>
    <row r="65">
      <c r="C65" t="inlineStr">
        <is>
          <t>3. Length of moving object||7. Volume of moving object</t>
        </is>
      </c>
      <c r="D65" t="inlineStr">
        <is>
          <t>13,4,8</t>
        </is>
      </c>
    </row>
    <row r="66">
      <c r="C66" t="inlineStr">
        <is>
          <t>3. Length of moving object||9. Speed</t>
        </is>
      </c>
      <c r="D66" t="inlineStr">
        <is>
          <t>13,28</t>
        </is>
      </c>
    </row>
    <row r="67">
      <c r="C67" t="inlineStr">
        <is>
          <t>3. Length of moving object||10. Force</t>
        </is>
      </c>
      <c r="D67" t="inlineStr">
        <is>
          <t>17,10,4</t>
        </is>
      </c>
    </row>
    <row r="68">
      <c r="C68" t="inlineStr">
        <is>
          <t>3. Length of moving object||11. Stress or pressure</t>
        </is>
      </c>
      <c r="D68" t="inlineStr">
        <is>
          <t>1,8,35</t>
        </is>
      </c>
    </row>
    <row r="69">
      <c r="C69" t="inlineStr">
        <is>
          <t>3. Length of moving object||12. Shape</t>
        </is>
      </c>
      <c r="D69" t="inlineStr">
        <is>
          <t>1,15,8,35</t>
        </is>
      </c>
    </row>
    <row r="70">
      <c r="C70" t="inlineStr">
        <is>
          <t>3. Length of moving object||13. Stability of object composition</t>
        </is>
      </c>
      <c r="D70" t="inlineStr">
        <is>
          <t>28,10</t>
        </is>
      </c>
    </row>
    <row r="71">
      <c r="C71" t="inlineStr">
        <is>
          <t>3. Length of moving object||14. Strength</t>
        </is>
      </c>
      <c r="D71" t="inlineStr">
        <is>
          <t>8,35,29,34</t>
        </is>
      </c>
    </row>
    <row r="72">
      <c r="C72" t="inlineStr">
        <is>
          <t>3. Length of moving object||15. Duration of action - moving</t>
        </is>
      </c>
      <c r="D72" t="inlineStr">
        <is>
          <t>19</t>
        </is>
      </c>
    </row>
    <row r="73">
      <c r="C73" t="inlineStr">
        <is>
          <t>3. Length of moving object||17. Temperature</t>
        </is>
      </c>
      <c r="D73" t="inlineStr">
        <is>
          <t>10,15,19</t>
        </is>
      </c>
    </row>
    <row r="74">
      <c r="C74" t="inlineStr">
        <is>
          <t>3. Length of moving object||18. Illumination intensity</t>
        </is>
      </c>
      <c r="D74" t="inlineStr">
        <is>
          <t>32</t>
        </is>
      </c>
    </row>
    <row r="75">
      <c r="C75" t="inlineStr">
        <is>
          <t>3. Length of moving object||19. Use of energy by moving object</t>
        </is>
      </c>
      <c r="D75" t="inlineStr">
        <is>
          <t>19,10,32,18</t>
        </is>
      </c>
    </row>
    <row r="76">
      <c r="C76" t="inlineStr">
        <is>
          <t>3. Length of moving object||22. Loss of energy</t>
        </is>
      </c>
      <c r="D76" t="inlineStr">
        <is>
          <t>10,35,34,20</t>
        </is>
      </c>
    </row>
    <row r="77">
      <c r="C77" t="inlineStr">
        <is>
          <t>3. Length of moving object||23. Loss of substance</t>
        </is>
      </c>
      <c r="D77" t="inlineStr">
        <is>
          <t>10,28,29,35</t>
        </is>
      </c>
    </row>
    <row r="78">
      <c r="C78" t="inlineStr">
        <is>
          <t>3. Length of moving object||24. Loss of information</t>
        </is>
      </c>
      <c r="D78" t="inlineStr">
        <is>
          <t>10,28,29,35</t>
        </is>
      </c>
    </row>
    <row r="79">
      <c r="C79" t="inlineStr">
        <is>
          <t>3. Length of moving object||25. Loss of time</t>
        </is>
      </c>
      <c r="D79" t="inlineStr">
        <is>
          <t>14,26,28,25</t>
        </is>
      </c>
    </row>
    <row r="80">
      <c r="C80" t="inlineStr">
        <is>
          <t>3. Length of moving object||26. Amount of substance</t>
        </is>
      </c>
      <c r="D80" t="inlineStr">
        <is>
          <t>3,35,38,18</t>
        </is>
      </c>
    </row>
    <row r="81">
      <c r="C81" t="inlineStr">
        <is>
          <t>3. Length of moving object||27. Reliability</t>
        </is>
      </c>
      <c r="D81" t="inlineStr">
        <is>
          <t>13,35</t>
        </is>
      </c>
    </row>
    <row r="82">
      <c r="C82" t="inlineStr">
        <is>
          <t>3. Length of moving object||28. Measurement accuracy</t>
        </is>
      </c>
      <c r="D82" t="inlineStr">
        <is>
          <t>32,28,13</t>
        </is>
      </c>
    </row>
    <row r="83">
      <c r="C83" t="inlineStr">
        <is>
          <t>3. Length of moving object||29. Manufacturing precision</t>
        </is>
      </c>
      <c r="D83" t="inlineStr">
        <is>
          <t>32,28,13</t>
        </is>
      </c>
    </row>
    <row r="84">
      <c r="C84" t="inlineStr">
        <is>
          <t>3. Length of moving object||30. Object-generated harmful effects</t>
        </is>
      </c>
      <c r="D84" t="inlineStr">
        <is>
          <t>22,1,3,35</t>
        </is>
      </c>
    </row>
    <row r="85">
      <c r="C85" t="inlineStr">
        <is>
          <t>3. Length of moving object||31. Harmful side effects</t>
        </is>
      </c>
      <c r="D85" t="inlineStr">
        <is>
          <t>17,1,39,4</t>
        </is>
      </c>
    </row>
    <row r="86">
      <c r="C86" t="inlineStr">
        <is>
          <t>3. Length of moving object||32. Ease of manufacture</t>
        </is>
      </c>
      <c r="D86" t="inlineStr">
        <is>
          <t>17,24,26,16</t>
        </is>
      </c>
    </row>
    <row r="87">
      <c r="C87" t="inlineStr">
        <is>
          <t>3. Length of moving object||33. Ease of operation</t>
        </is>
      </c>
      <c r="D87" t="inlineStr">
        <is>
          <t>14,4,28,29</t>
        </is>
      </c>
    </row>
    <row r="88">
      <c r="C88" t="inlineStr">
        <is>
          <t>3. Length of moving object||34. Ease of repair</t>
        </is>
      </c>
      <c r="D88" t="inlineStr">
        <is>
          <t>1,4</t>
        </is>
      </c>
    </row>
    <row r="89">
      <c r="C89" t="inlineStr">
        <is>
          <t>3. Length of moving object||35. Adaptability or versatility</t>
        </is>
      </c>
      <c r="D89" t="inlineStr">
        <is>
          <t>17,15</t>
        </is>
      </c>
    </row>
    <row r="90">
      <c r="C90" t="inlineStr">
        <is>
          <t>3. Length of moving object||36. Device complexity</t>
        </is>
      </c>
      <c r="D90" t="inlineStr">
        <is>
          <t>1,17,13,12</t>
        </is>
      </c>
    </row>
    <row r="91">
      <c r="C91" t="inlineStr">
        <is>
          <t>3. Length of moving object||37. Difficulty of detecting and measuring</t>
        </is>
      </c>
      <c r="D91" t="inlineStr">
        <is>
          <t>1,17,13,16</t>
        </is>
      </c>
    </row>
    <row r="92">
      <c r="C92" t="inlineStr">
        <is>
          <t>3. Length of moving object||39. Productivity</t>
        </is>
      </c>
      <c r="D92" t="inlineStr">
        <is>
          <t>14,4,28,29</t>
        </is>
      </c>
    </row>
    <row r="93">
      <c r="C93" t="inlineStr">
        <is>
          <t>4. Length of stationary object||2. Weight of stationary object</t>
        </is>
      </c>
      <c r="D93" t="inlineStr">
        <is>
          <t>35,28,40,29</t>
        </is>
      </c>
    </row>
    <row r="94">
      <c r="C94" t="inlineStr">
        <is>
          <t>4. Length of stationary object||3. Length of moving object</t>
        </is>
      </c>
      <c r="D94" t="inlineStr">
        <is>
          <t>15,17,4</t>
        </is>
      </c>
    </row>
    <row r="95">
      <c r="C95" t="inlineStr">
        <is>
          <t>4. Length of stationary object||4. Length of stationary object</t>
        </is>
      </c>
      <c r="D95" t="inlineStr">
        <is>
          <t>—</t>
        </is>
      </c>
    </row>
    <row r="96">
      <c r="C96" t="inlineStr">
        <is>
          <t>4. Length of stationary object||6. Area of stationary object</t>
        </is>
      </c>
      <c r="D96" t="inlineStr">
        <is>
          <t>17,7,10,40</t>
        </is>
      </c>
    </row>
    <row r="97">
      <c r="C97" t="inlineStr">
        <is>
          <t>4. Length of stationary object||8. Volume of stationary object</t>
        </is>
      </c>
      <c r="D97" t="inlineStr">
        <is>
          <t>35,8,2,14</t>
        </is>
      </c>
    </row>
    <row r="98">
      <c r="C98" t="inlineStr">
        <is>
          <t>4. Length of stationary object||11. Stress or pressure</t>
        </is>
      </c>
      <c r="D98" t="inlineStr">
        <is>
          <t>28,10</t>
        </is>
      </c>
    </row>
    <row r="99">
      <c r="C99" t="inlineStr">
        <is>
          <t>4. Length of stationary object||12. Shape</t>
        </is>
      </c>
      <c r="D99" t="inlineStr">
        <is>
          <t>1,14,35</t>
        </is>
      </c>
    </row>
    <row r="100">
      <c r="C100" t="inlineStr">
        <is>
          <t>4. Length of stationary object||13. Stability of object composition</t>
        </is>
      </c>
      <c r="D100" t="inlineStr">
        <is>
          <t>28,10</t>
        </is>
      </c>
    </row>
    <row r="101">
      <c r="C101" t="inlineStr">
        <is>
          <t>4. Length of stationary object||14. Strength</t>
        </is>
      </c>
      <c r="D101" t="inlineStr">
        <is>
          <t>3,35,38,18</t>
        </is>
      </c>
    </row>
    <row r="102">
      <c r="C102" t="inlineStr">
        <is>
          <t>4. Length of stationary object||16. Duration of action - stationary</t>
        </is>
      </c>
      <c r="D102" t="inlineStr">
        <is>
          <t>35,10,21</t>
        </is>
      </c>
    </row>
    <row r="103">
      <c r="C103" t="inlineStr">
        <is>
          <t>4. Length of stationary object||18. Illumination intensity</t>
        </is>
      </c>
      <c r="D103" t="inlineStr">
        <is>
          <t>2,26</t>
        </is>
      </c>
    </row>
    <row r="104">
      <c r="C104" t="inlineStr">
        <is>
          <t>4. Length of stationary object||20. Use of energy by stationary object</t>
        </is>
      </c>
      <c r="D104" t="inlineStr">
        <is>
          <t>1,26</t>
        </is>
      </c>
    </row>
    <row r="105">
      <c r="C105" t="inlineStr">
        <is>
          <t>4. Length of stationary object||23. Loss of substance</t>
        </is>
      </c>
      <c r="D105" t="inlineStr">
        <is>
          <t>10,28,35,23</t>
        </is>
      </c>
    </row>
    <row r="106">
      <c r="C106" t="inlineStr">
        <is>
          <t>4. Length of stationary object||25. Loss of time</t>
        </is>
      </c>
      <c r="D106" t="inlineStr">
        <is>
          <t>12,28,10,24</t>
        </is>
      </c>
    </row>
    <row r="107">
      <c r="C107" t="inlineStr">
        <is>
          <t>4. Length of stationary object||27. Reliability</t>
        </is>
      </c>
      <c r="D107" t="inlineStr">
        <is>
          <t>3,35,13</t>
        </is>
      </c>
    </row>
    <row r="108">
      <c r="C108" t="inlineStr">
        <is>
          <t>4. Length of stationary object||28. Measurement accuracy</t>
        </is>
      </c>
      <c r="D108" t="inlineStr">
        <is>
          <t>1,32</t>
        </is>
      </c>
    </row>
    <row r="109">
      <c r="C109" t="inlineStr">
        <is>
          <t>4. Length of stationary object||29. Manufacturing precision</t>
        </is>
      </c>
      <c r="D109" t="inlineStr">
        <is>
          <t>25,10</t>
        </is>
      </c>
    </row>
    <row r="110">
      <c r="C110" t="inlineStr">
        <is>
          <t>4. Length of stationary object||30. Object-generated harmful effects</t>
        </is>
      </c>
      <c r="D110" t="inlineStr">
        <is>
          <t>35,28,9,10</t>
        </is>
      </c>
    </row>
    <row r="111">
      <c r="C111" t="inlineStr">
        <is>
          <t>4. Length of stationary object||31. Harmful side effects</t>
        </is>
      </c>
      <c r="D111" t="inlineStr">
        <is>
          <t>10,28,24,35</t>
        </is>
      </c>
    </row>
    <row r="112">
      <c r="C112" t="inlineStr">
        <is>
          <t>4. Length of stationary object||32. Ease of manufacture</t>
        </is>
      </c>
      <c r="D112" t="inlineStr">
        <is>
          <t>1,35,20,10</t>
        </is>
      </c>
    </row>
    <row r="113">
      <c r="C113" t="inlineStr">
        <is>
          <t>4. Length of stationary object||33. Ease of operation</t>
        </is>
      </c>
      <c r="D113" t="inlineStr">
        <is>
          <t>13,3,36,24</t>
        </is>
      </c>
    </row>
    <row r="114">
      <c r="C114" t="inlineStr">
        <is>
          <t>4. Length of stationary object||34. Ease of repair</t>
        </is>
      </c>
      <c r="D114" t="inlineStr">
        <is>
          <t>15,37,8</t>
        </is>
      </c>
    </row>
    <row r="115">
      <c r="C115" t="inlineStr">
        <is>
          <t>4. Length of stationary object||35. Adaptability or versatility</t>
        </is>
      </c>
      <c r="D115" t="inlineStr">
        <is>
          <t>15,10,37,28</t>
        </is>
      </c>
    </row>
    <row r="116">
      <c r="C116" t="inlineStr">
        <is>
          <t>4. Length of stationary object||36. Device complexity</t>
        </is>
      </c>
      <c r="D116" t="inlineStr">
        <is>
          <t>26,1</t>
        </is>
      </c>
    </row>
    <row r="117">
      <c r="C117" t="inlineStr">
        <is>
          <t>4. Length of stationary object||37. Difficulty of detecting and measuring</t>
        </is>
      </c>
      <c r="D117" t="inlineStr">
        <is>
          <t>29,1,4,16</t>
        </is>
      </c>
    </row>
    <row r="118">
      <c r="C118" t="inlineStr">
        <is>
          <t>4. Length of stationary object||38. Extent of automation</t>
        </is>
      </c>
      <c r="D118" t="inlineStr">
        <is>
          <t>2,18,37</t>
        </is>
      </c>
    </row>
    <row r="119">
      <c r="C119" t="inlineStr">
        <is>
          <t>4. Length of stationary object||39. Productivity</t>
        </is>
      </c>
      <c r="D119" t="inlineStr">
        <is>
          <t>28,10,29,35</t>
        </is>
      </c>
    </row>
    <row r="120">
      <c r="C120" t="inlineStr">
        <is>
          <t>5. Area of moving object||1. Weight of moving object</t>
        </is>
      </c>
      <c r="D120" t="inlineStr">
        <is>
          <t>2,17,29,4</t>
        </is>
      </c>
    </row>
    <row r="121">
      <c r="C121" t="inlineStr">
        <is>
          <t>5. Area of moving object||3. Length of moving object</t>
        </is>
      </c>
      <c r="D121" t="inlineStr">
        <is>
          <t>14,15,18,4</t>
        </is>
      </c>
    </row>
    <row r="122">
      <c r="C122" t="inlineStr">
        <is>
          <t>5. Area of moving object||5. Area of moving object</t>
        </is>
      </c>
      <c r="D122" t="inlineStr">
        <is>
          <t>—</t>
        </is>
      </c>
    </row>
    <row r="123">
      <c r="C123" t="inlineStr">
        <is>
          <t>5. Area of moving object||6. Area of stationary object</t>
        </is>
      </c>
      <c r="D123" t="inlineStr">
        <is>
          <t>30,2</t>
        </is>
      </c>
    </row>
    <row r="124">
      <c r="C124" t="inlineStr">
        <is>
          <t>5. Area of moving object||7. Volume of moving object</t>
        </is>
      </c>
      <c r="D124" t="inlineStr">
        <is>
          <t>26,7,9,39</t>
        </is>
      </c>
    </row>
    <row r="125">
      <c r="C125" t="inlineStr">
        <is>
          <t>5. Area of moving object||9. Speed</t>
        </is>
      </c>
      <c r="D125" t="inlineStr">
        <is>
          <t>2,38</t>
        </is>
      </c>
    </row>
    <row r="126">
      <c r="C126" t="inlineStr">
        <is>
          <t>5. Area of moving object||10. Force</t>
        </is>
      </c>
      <c r="D126" t="inlineStr">
        <is>
          <t>19,30,35,2</t>
        </is>
      </c>
    </row>
    <row r="127">
      <c r="C127" t="inlineStr">
        <is>
          <t>5. Area of moving object||11. Stress or pressure</t>
        </is>
      </c>
      <c r="D127" t="inlineStr">
        <is>
          <t>15,17,30,26</t>
        </is>
      </c>
    </row>
    <row r="128">
      <c r="C128" t="inlineStr">
        <is>
          <t>5. Area of moving object||12. Shape</t>
        </is>
      </c>
      <c r="D128" t="inlineStr">
        <is>
          <t>26,7,9,39</t>
        </is>
      </c>
    </row>
    <row r="129">
      <c r="C129" t="inlineStr">
        <is>
          <t>5. Area of moving object||13. Stability of object composition</t>
        </is>
      </c>
      <c r="D129" t="inlineStr">
        <is>
          <t>2,11,13</t>
        </is>
      </c>
    </row>
    <row r="130">
      <c r="C130" t="inlineStr">
        <is>
          <t>5. Area of moving object||14. Strength</t>
        </is>
      </c>
      <c r="D130" t="inlineStr">
        <is>
          <t>10,28,15</t>
        </is>
      </c>
    </row>
    <row r="131">
      <c r="C131" t="inlineStr">
        <is>
          <t>5. Area of moving object||15. Duration of action - moving</t>
        </is>
      </c>
      <c r="D131" t="inlineStr">
        <is>
          <t>5,34,29,4</t>
        </is>
      </c>
    </row>
    <row r="132">
      <c r="C132" t="inlineStr">
        <is>
          <t>5. Area of moving object||17. Temperature</t>
        </is>
      </c>
      <c r="D132" t="inlineStr">
        <is>
          <t>2,15,16</t>
        </is>
      </c>
    </row>
    <row r="133">
      <c r="C133" t="inlineStr">
        <is>
          <t>5. Area of moving object||18. Illumination intensity</t>
        </is>
      </c>
      <c r="D133" t="inlineStr">
        <is>
          <t>15,32</t>
        </is>
      </c>
    </row>
    <row r="134">
      <c r="C134" t="inlineStr">
        <is>
          <t>5. Area of moving object||19. Use of energy by moving object</t>
        </is>
      </c>
      <c r="D134" t="inlineStr">
        <is>
          <t>15,30,14,28</t>
        </is>
      </c>
    </row>
    <row r="135">
      <c r="C135" t="inlineStr">
        <is>
          <t>5. Area of moving object||22. Loss of energy</t>
        </is>
      </c>
      <c r="D135" t="inlineStr">
        <is>
          <t>15,26,17,13</t>
        </is>
      </c>
    </row>
    <row r="136">
      <c r="C136" t="inlineStr">
        <is>
          <t>5. Area of moving object||23. Loss of substance</t>
        </is>
      </c>
      <c r="D136" t="inlineStr">
        <is>
          <t>17,26,38,10</t>
        </is>
      </c>
    </row>
    <row r="137">
      <c r="C137" t="inlineStr">
        <is>
          <t>5. Area of moving object||24. Loss of information</t>
        </is>
      </c>
      <c r="D137" t="inlineStr">
        <is>
          <t>14,9,13,15</t>
        </is>
      </c>
    </row>
    <row r="138">
      <c r="C138" t="inlineStr">
        <is>
          <t>5. Area of moving object||25. Loss of time</t>
        </is>
      </c>
      <c r="D138" t="inlineStr">
        <is>
          <t>2,6,34,14</t>
        </is>
      </c>
    </row>
    <row r="139">
      <c r="C139" t="inlineStr">
        <is>
          <t>5. Area of moving object||26. Amount of substance</t>
        </is>
      </c>
      <c r="D139" t="inlineStr">
        <is>
          <t>10,15,17,7</t>
        </is>
      </c>
    </row>
    <row r="140">
      <c r="C140" t="inlineStr">
        <is>
          <t>5. Area of moving object||27. Reliability</t>
        </is>
      </c>
      <c r="D140" t="inlineStr">
        <is>
          <t>10,22,29,40</t>
        </is>
      </c>
    </row>
    <row r="141">
      <c r="C141" t="inlineStr">
        <is>
          <t>5. Area of moving object||28. Measurement accuracy</t>
        </is>
      </c>
      <c r="D141" t="inlineStr">
        <is>
          <t>28,32,3</t>
        </is>
      </c>
    </row>
    <row r="142">
      <c r="C142" t="inlineStr">
        <is>
          <t>5. Area of moving object||29. Manufacturing precision</t>
        </is>
      </c>
      <c r="D142" t="inlineStr">
        <is>
          <t>32,28,3,16</t>
        </is>
      </c>
    </row>
    <row r="143">
      <c r="C143" t="inlineStr">
        <is>
          <t>5. Area of moving object||30. Object-generated harmful effects</t>
        </is>
      </c>
      <c r="D143" t="inlineStr">
        <is>
          <t>2,25,28,39</t>
        </is>
      </c>
    </row>
    <row r="144">
      <c r="C144" t="inlineStr">
        <is>
          <t>5. Area of moving object||31. Harmful side effects</t>
        </is>
      </c>
      <c r="D144" t="inlineStr">
        <is>
          <t>1,28,10</t>
        </is>
      </c>
    </row>
    <row r="145">
      <c r="C145" t="inlineStr">
        <is>
          <t>5. Area of moving object||32. Ease of manufacture</t>
        </is>
      </c>
      <c r="D145" t="inlineStr">
        <is>
          <t>1,32,10,25</t>
        </is>
      </c>
    </row>
    <row r="146">
      <c r="C146" t="inlineStr">
        <is>
          <t>5. Area of moving object||33. Ease of operation</t>
        </is>
      </c>
      <c r="D146" t="inlineStr">
        <is>
          <t>1,32,13,11</t>
        </is>
      </c>
    </row>
    <row r="147">
      <c r="C147" t="inlineStr">
        <is>
          <t>5. Area of moving object||34. Ease of repair</t>
        </is>
      </c>
      <c r="D147" t="inlineStr">
        <is>
          <t>2,28,10,25</t>
        </is>
      </c>
    </row>
    <row r="148">
      <c r="C148" t="inlineStr">
        <is>
          <t>5. Area of moving object||35. Adaptability or versatility</t>
        </is>
      </c>
      <c r="D148" t="inlineStr">
        <is>
          <t>15,17,30,26</t>
        </is>
      </c>
    </row>
    <row r="149">
      <c r="C149" t="inlineStr">
        <is>
          <t>5. Area of moving object||36. Device complexity</t>
        </is>
      </c>
      <c r="D149" t="inlineStr">
        <is>
          <t>2,26,35</t>
        </is>
      </c>
    </row>
    <row r="150">
      <c r="C150" t="inlineStr">
        <is>
          <t>5. Area of moving object||37. Difficulty of detecting and measuring</t>
        </is>
      </c>
      <c r="D150" t="inlineStr">
        <is>
          <t>32,26,28,18</t>
        </is>
      </c>
    </row>
    <row r="151">
      <c r="C151" t="inlineStr">
        <is>
          <t>5. Area of moving object||38. Extent of automation</t>
        </is>
      </c>
      <c r="D151" t="inlineStr">
        <is>
          <t>2,25,16</t>
        </is>
      </c>
    </row>
    <row r="152">
      <c r="C152" t="inlineStr">
        <is>
          <t>5. Area of moving object||39. Productivity</t>
        </is>
      </c>
      <c r="D152" t="inlineStr">
        <is>
          <t>12,28,35</t>
        </is>
      </c>
    </row>
    <row r="153">
      <c r="C153" t="inlineStr">
        <is>
          <t>6. Area of stationary object||2. Weight of stationary object</t>
        </is>
      </c>
      <c r="D153" t="inlineStr">
        <is>
          <t>17,28</t>
        </is>
      </c>
    </row>
    <row r="154">
      <c r="C154" t="inlineStr">
        <is>
          <t>6. Area of stationary object||4. Length of stationary object</t>
        </is>
      </c>
      <c r="D154" t="inlineStr">
        <is>
          <t>17,7,10,40</t>
        </is>
      </c>
    </row>
    <row r="155">
      <c r="C155" t="inlineStr">
        <is>
          <t>6. Area of stationary object||5. Area of moving object</t>
        </is>
      </c>
      <c r="D155" t="inlineStr">
        <is>
          <t>30,2</t>
        </is>
      </c>
    </row>
    <row r="156">
      <c r="C156" t="inlineStr">
        <is>
          <t>6. Area of stationary object||6. Area of stationary object</t>
        </is>
      </c>
      <c r="D156" t="inlineStr">
        <is>
          <t>—</t>
        </is>
      </c>
    </row>
    <row r="157">
      <c r="C157" t="inlineStr">
        <is>
          <t>6. Area of stationary object||8. Volume of stationary object</t>
        </is>
      </c>
      <c r="D157" t="inlineStr">
        <is>
          <t>10,40,28,2</t>
        </is>
      </c>
    </row>
    <row r="158">
      <c r="C158" t="inlineStr">
        <is>
          <t>6. Area of stationary object||9. Speed</t>
        </is>
      </c>
      <c r="D158" t="inlineStr">
        <is>
          <t>3,35</t>
        </is>
      </c>
    </row>
    <row r="159">
      <c r="C159" t="inlineStr">
        <is>
          <t>6. Area of stationary object||10. Force</t>
        </is>
      </c>
      <c r="D159" t="inlineStr">
        <is>
          <t>10,15,36,28</t>
        </is>
      </c>
    </row>
    <row r="160">
      <c r="C160" t="inlineStr">
        <is>
          <t>6. Area of stationary object||11. Stress or pressure</t>
        </is>
      </c>
      <c r="D160" t="inlineStr">
        <is>
          <t>10,15,36,37</t>
        </is>
      </c>
    </row>
    <row r="161">
      <c r="C161" t="inlineStr">
        <is>
          <t>6. Area of stationary object||12. Shape</t>
        </is>
      </c>
      <c r="D161" t="inlineStr">
        <is>
          <t>2,38</t>
        </is>
      </c>
    </row>
    <row r="162">
      <c r="C162" t="inlineStr">
        <is>
          <t>6. Area of stationary object||13. Stability of object composition</t>
        </is>
      </c>
      <c r="D162" t="inlineStr">
        <is>
          <t>35,10,14</t>
        </is>
      </c>
    </row>
    <row r="163">
      <c r="C163" t="inlineStr">
        <is>
          <t>6. Area of stationary object||19. Use of energy by moving object</t>
        </is>
      </c>
      <c r="D163" t="inlineStr">
        <is>
          <t>16,17,26,24</t>
        </is>
      </c>
    </row>
    <row r="164">
      <c r="C164" t="inlineStr">
        <is>
          <t>6. Area of stationary object||23. Loss of substance</t>
        </is>
      </c>
      <c r="D164" t="inlineStr">
        <is>
          <t>16,17,26,24</t>
        </is>
      </c>
    </row>
    <row r="165">
      <c r="C165" t="inlineStr">
        <is>
          <t>6. Area of stationary object||25. Loss of time</t>
        </is>
      </c>
      <c r="D165" t="inlineStr">
        <is>
          <t>16,4</t>
        </is>
      </c>
    </row>
    <row r="166">
      <c r="C166" t="inlineStr">
        <is>
          <t>6. Area of stationary object||26. Amount of substance</t>
        </is>
      </c>
      <c r="D166" t="inlineStr">
        <is>
          <t>16,4</t>
        </is>
      </c>
    </row>
    <row r="167">
      <c r="C167" t="inlineStr">
        <is>
          <t>6. Area of stationary object||27. Reliability</t>
        </is>
      </c>
      <c r="D167" t="inlineStr">
        <is>
          <t>10,35,4,18</t>
        </is>
      </c>
    </row>
    <row r="168">
      <c r="C168" t="inlineStr">
        <is>
          <t>6. Area of stationary object||28. Measurement accuracy</t>
        </is>
      </c>
      <c r="D168" t="inlineStr">
        <is>
          <t>28,32,3</t>
        </is>
      </c>
    </row>
    <row r="169">
      <c r="C169" t="inlineStr">
        <is>
          <t>6. Area of stationary object||29. Manufacturing precision</t>
        </is>
      </c>
      <c r="D169" t="inlineStr">
        <is>
          <t>3,35,38,18</t>
        </is>
      </c>
    </row>
    <row r="170">
      <c r="C170" t="inlineStr">
        <is>
          <t>6. Area of stationary object||30. Object-generated harmful effects</t>
        </is>
      </c>
      <c r="D170" t="inlineStr">
        <is>
          <t>22,21,3,35</t>
        </is>
      </c>
    </row>
    <row r="171">
      <c r="C171" t="inlineStr">
        <is>
          <t>6. Area of stationary object||31. Harmful side effects</t>
        </is>
      </c>
      <c r="D171" t="inlineStr">
        <is>
          <t>27,2,39,35</t>
        </is>
      </c>
    </row>
    <row r="172">
      <c r="C172" t="inlineStr">
        <is>
          <t>6. Area of stationary object||32. Ease of manufacture</t>
        </is>
      </c>
      <c r="D172" t="inlineStr">
        <is>
          <t>10,35,28,24</t>
        </is>
      </c>
    </row>
    <row r="173">
      <c r="C173" t="inlineStr">
        <is>
          <t>6. Area of stationary object||33. Ease of operation</t>
        </is>
      </c>
      <c r="D173" t="inlineStr">
        <is>
          <t>35,1,13,11</t>
        </is>
      </c>
    </row>
    <row r="174">
      <c r="C174" t="inlineStr">
        <is>
          <t>6. Area of stationary object||34. Ease of repair</t>
        </is>
      </c>
      <c r="D174" t="inlineStr">
        <is>
          <t>35,1,13,11</t>
        </is>
      </c>
    </row>
    <row r="175">
      <c r="C175" t="inlineStr">
        <is>
          <t>6. Area of stationary object||35. Adaptability or versatility</t>
        </is>
      </c>
      <c r="D175" t="inlineStr">
        <is>
          <t>1,32</t>
        </is>
      </c>
    </row>
    <row r="176">
      <c r="C176" t="inlineStr">
        <is>
          <t>6. Area of stationary object||36. Device complexity</t>
        </is>
      </c>
      <c r="D176" t="inlineStr">
        <is>
          <t>26,2</t>
        </is>
      </c>
    </row>
    <row r="177">
      <c r="C177" t="inlineStr">
        <is>
          <t>6. Area of stationary object||37. Difficulty of detecting and measuring</t>
        </is>
      </c>
      <c r="D177" t="inlineStr">
        <is>
          <t>36,28,40,19</t>
        </is>
      </c>
    </row>
    <row r="178">
      <c r="C178" t="inlineStr">
        <is>
          <t>6. Area of stationary object||39. Productivity</t>
        </is>
      </c>
      <c r="D178" t="inlineStr">
        <is>
          <t>35,10,38,19</t>
        </is>
      </c>
    </row>
    <row r="179">
      <c r="C179" t="inlineStr">
        <is>
          <t>7. Volume of moving object||1. Weight of moving object</t>
        </is>
      </c>
      <c r="D179" t="inlineStr">
        <is>
          <t>2,26,29,40</t>
        </is>
      </c>
    </row>
    <row r="180">
      <c r="C180" t="inlineStr">
        <is>
          <t>7. Volume of moving object||3. Length of moving object</t>
        </is>
      </c>
      <c r="D180" t="inlineStr">
        <is>
          <t>1,7,4,35</t>
        </is>
      </c>
    </row>
    <row r="181">
      <c r="C181" t="inlineStr">
        <is>
          <t>7. Volume of moving object||5. Area of moving object</t>
        </is>
      </c>
      <c r="D181" t="inlineStr">
        <is>
          <t>1,7,4,17</t>
        </is>
      </c>
    </row>
    <row r="182">
      <c r="C182" t="inlineStr">
        <is>
          <t>7. Volume of moving object||7. Volume of moving object</t>
        </is>
      </c>
      <c r="D182" t="inlineStr">
        <is>
          <t>—</t>
        </is>
      </c>
    </row>
    <row r="183">
      <c r="C183" t="inlineStr">
        <is>
          <t>7. Volume of moving object||9. Speed</t>
        </is>
      </c>
      <c r="D183" t="inlineStr">
        <is>
          <t>29,4,38,34</t>
        </is>
      </c>
    </row>
    <row r="184">
      <c r="C184" t="inlineStr">
        <is>
          <t>7. Volume of moving object||10. Force</t>
        </is>
      </c>
      <c r="D184" t="inlineStr">
        <is>
          <t>15,35,36,37</t>
        </is>
      </c>
    </row>
    <row r="185">
      <c r="C185" t="inlineStr">
        <is>
          <t>7. Volume of moving object||11. Stress or pressure</t>
        </is>
      </c>
      <c r="D185" t="inlineStr">
        <is>
          <t>6,35,36,37</t>
        </is>
      </c>
    </row>
    <row r="186">
      <c r="C186" t="inlineStr">
        <is>
          <t>7. Volume of moving object||12. Shape</t>
        </is>
      </c>
      <c r="D186" t="inlineStr">
        <is>
          <t>1,15,29,4</t>
        </is>
      </c>
    </row>
    <row r="187">
      <c r="C187" t="inlineStr">
        <is>
          <t>7. Volume of moving object||13. Stability of object composition</t>
        </is>
      </c>
      <c r="D187" t="inlineStr">
        <is>
          <t>28,10,1</t>
        </is>
      </c>
    </row>
    <row r="188">
      <c r="C188" t="inlineStr">
        <is>
          <t>7. Volume of moving object||14. Strength</t>
        </is>
      </c>
      <c r="D188" t="inlineStr">
        <is>
          <t>9,14,15,7</t>
        </is>
      </c>
    </row>
    <row r="189">
      <c r="C189" t="inlineStr">
        <is>
          <t>7. Volume of moving object||15. Duration of action - moving</t>
        </is>
      </c>
      <c r="D189" t="inlineStr">
        <is>
          <t>6,35,4</t>
        </is>
      </c>
    </row>
    <row r="190">
      <c r="C190" t="inlineStr">
        <is>
          <t>7. Volume of moving object||17. Temperature</t>
        </is>
      </c>
      <c r="D190" t="inlineStr">
        <is>
          <t>34,39,40,18</t>
        </is>
      </c>
    </row>
    <row r="191">
      <c r="C191" t="inlineStr">
        <is>
          <t>7. Volume of moving object||18. Illumination intensity</t>
        </is>
      </c>
      <c r="D191" t="inlineStr">
        <is>
          <t>2,13,10</t>
        </is>
      </c>
    </row>
    <row r="192">
      <c r="C192" t="inlineStr">
        <is>
          <t>7. Volume of moving object||19. Use of energy by moving object</t>
        </is>
      </c>
      <c r="D192" t="inlineStr">
        <is>
          <t>35,6,13,18</t>
        </is>
      </c>
    </row>
    <row r="193">
      <c r="C193" t="inlineStr">
        <is>
          <t>7. Volume of moving object||20. Use of energy by stationary object</t>
        </is>
      </c>
      <c r="D193" t="inlineStr">
        <is>
          <t>7,2,35</t>
        </is>
      </c>
    </row>
    <row r="194">
      <c r="C194" t="inlineStr">
        <is>
          <t>7. Volume of moving object||22. Loss of energy</t>
        </is>
      </c>
      <c r="D194" t="inlineStr">
        <is>
          <t>16,35,38</t>
        </is>
      </c>
    </row>
    <row r="195">
      <c r="C195" t="inlineStr">
        <is>
          <t>7. Volume of moving object||23. Loss of substance</t>
        </is>
      </c>
      <c r="D195" t="inlineStr">
        <is>
          <t>2,20,22</t>
        </is>
      </c>
    </row>
    <row r="196">
      <c r="C196" t="inlineStr">
        <is>
          <t>7. Volume of moving object||24. Loss of information</t>
        </is>
      </c>
      <c r="D196" t="inlineStr">
        <is>
          <t>26,24</t>
        </is>
      </c>
    </row>
    <row r="197">
      <c r="C197" t="inlineStr">
        <is>
          <t>7. Volume of moving object||25. Loss of time</t>
        </is>
      </c>
      <c r="D197" t="inlineStr">
        <is>
          <t>35,6,13,18</t>
        </is>
      </c>
    </row>
    <row r="198">
      <c r="C198" t="inlineStr">
        <is>
          <t>7. Volume of moving object||26. Amount of substance</t>
        </is>
      </c>
      <c r="D198" t="inlineStr">
        <is>
          <t>10,6,2,34</t>
        </is>
      </c>
    </row>
    <row r="199">
      <c r="C199" t="inlineStr">
        <is>
          <t>7. Volume of moving object||27. Reliability</t>
        </is>
      </c>
      <c r="D199" t="inlineStr">
        <is>
          <t>39,35,34,10</t>
        </is>
      </c>
    </row>
    <row r="200">
      <c r="C200" t="inlineStr">
        <is>
          <t>7. Volume of moving object||28. Measurement accuracy</t>
        </is>
      </c>
      <c r="D200" t="inlineStr">
        <is>
          <t>28,32,4</t>
        </is>
      </c>
    </row>
    <row r="201">
      <c r="C201" t="inlineStr">
        <is>
          <t>7. Volume of moving object||29. Manufacturing precision</t>
        </is>
      </c>
      <c r="D201" t="inlineStr">
        <is>
          <t>28,32,4,22</t>
        </is>
      </c>
    </row>
    <row r="202">
      <c r="C202" t="inlineStr">
        <is>
          <t>7. Volume of moving object||30. Object-generated harmful effects</t>
        </is>
      </c>
      <c r="D202" t="inlineStr">
        <is>
          <t>22,21,27,35</t>
        </is>
      </c>
    </row>
    <row r="203">
      <c r="C203" t="inlineStr">
        <is>
          <t>7. Volume of moving object||31. Harmful side effects</t>
        </is>
      </c>
      <c r="D203" t="inlineStr">
        <is>
          <t>34,10,28</t>
        </is>
      </c>
    </row>
    <row r="204">
      <c r="C204" t="inlineStr">
        <is>
          <t>7. Volume of moving object||32. Ease of manufacture</t>
        </is>
      </c>
      <c r="D204" t="inlineStr">
        <is>
          <t>10,28,32</t>
        </is>
      </c>
    </row>
    <row r="205">
      <c r="C205" t="inlineStr">
        <is>
          <t>7. Volume of moving object||33. Ease of operation</t>
        </is>
      </c>
      <c r="D205" t="inlineStr">
        <is>
          <t>15,34,33</t>
        </is>
      </c>
    </row>
    <row r="206">
      <c r="C206" t="inlineStr">
        <is>
          <t>7. Volume of moving object||34. Ease of repair</t>
        </is>
      </c>
      <c r="D206" t="inlineStr">
        <is>
          <t>35,10,28,23</t>
        </is>
      </c>
    </row>
    <row r="207">
      <c r="C207" t="inlineStr">
        <is>
          <t>7. Volume of moving object||35. Adaptability or versatility</t>
        </is>
      </c>
      <c r="D207" t="inlineStr">
        <is>
          <t>10,28,29,4</t>
        </is>
      </c>
    </row>
    <row r="208">
      <c r="C208" t="inlineStr">
        <is>
          <t>7. Volume of moving object||36. Device complexity</t>
        </is>
      </c>
      <c r="D208" t="inlineStr">
        <is>
          <t>7,15,13,16</t>
        </is>
      </c>
    </row>
    <row r="209">
      <c r="C209" t="inlineStr">
        <is>
          <t>7. Volume of moving object||37. Difficulty of detecting and measuring</t>
        </is>
      </c>
      <c r="D209" t="inlineStr">
        <is>
          <t>35,15,18,34</t>
        </is>
      </c>
    </row>
    <row r="210">
      <c r="C210" t="inlineStr">
        <is>
          <t>7. Volume of moving object||38. Extent of automation</t>
        </is>
      </c>
      <c r="D210" t="inlineStr">
        <is>
          <t>35,10,38</t>
        </is>
      </c>
    </row>
    <row r="211">
      <c r="C211" t="inlineStr">
        <is>
          <t>7. Volume of moving object||39. Productivity</t>
        </is>
      </c>
      <c r="D211" t="inlineStr">
        <is>
          <t>10,28,29,35</t>
        </is>
      </c>
    </row>
    <row r="212">
      <c r="C212" t="inlineStr">
        <is>
          <t>8. Volume of stationary object||2. Weight of stationary object</t>
        </is>
      </c>
      <c r="D212" t="inlineStr">
        <is>
          <t>10,28,19,39</t>
        </is>
      </c>
    </row>
    <row r="213">
      <c r="C213" t="inlineStr">
        <is>
          <t>8. Volume of stationary object||4. Length of stationary object</t>
        </is>
      </c>
      <c r="D213" t="inlineStr">
        <is>
          <t>35,8,2,14</t>
        </is>
      </c>
    </row>
    <row r="214">
      <c r="C214" t="inlineStr">
        <is>
          <t>8. Volume of stationary object||6. Area of stationary object</t>
        </is>
      </c>
      <c r="D214" t="inlineStr">
        <is>
          <t>10,40,28,2</t>
        </is>
      </c>
    </row>
    <row r="215">
      <c r="C215" t="inlineStr">
        <is>
          <t>8. Volume of stationary object||8. Volume of stationary object</t>
        </is>
      </c>
      <c r="D215" t="inlineStr">
        <is>
          <t>—</t>
        </is>
      </c>
    </row>
    <row r="216">
      <c r="C216" t="inlineStr">
        <is>
          <t>8. Volume of stationary object||10. Force</t>
        </is>
      </c>
      <c r="D216" t="inlineStr">
        <is>
          <t>2,18,37</t>
        </is>
      </c>
    </row>
    <row r="217">
      <c r="C217" t="inlineStr">
        <is>
          <t>8. Volume of stationary object||11. Stress or pressure</t>
        </is>
      </c>
      <c r="D217" t="inlineStr">
        <is>
          <t>24,35</t>
        </is>
      </c>
    </row>
    <row r="218">
      <c r="C218" t="inlineStr">
        <is>
          <t>8. Volume of stationary object||12. Shape</t>
        </is>
      </c>
      <c r="D218" t="inlineStr">
        <is>
          <t>7,2,35</t>
        </is>
      </c>
    </row>
    <row r="219">
      <c r="C219" t="inlineStr">
        <is>
          <t>8. Volume of stationary object||13. Stability of object composition</t>
        </is>
      </c>
      <c r="D219" t="inlineStr">
        <is>
          <t>34,28,35,40</t>
        </is>
      </c>
    </row>
    <row r="220">
      <c r="C220" t="inlineStr">
        <is>
          <t>8. Volume of stationary object||14. Strength</t>
        </is>
      </c>
      <c r="D220" t="inlineStr">
        <is>
          <t>9,14,17,15</t>
        </is>
      </c>
    </row>
    <row r="221">
      <c r="C221" t="inlineStr">
        <is>
          <t>8. Volume of stationary object||16. Duration of action - stationary</t>
        </is>
      </c>
      <c r="D221" t="inlineStr">
        <is>
          <t>35,10,21</t>
        </is>
      </c>
    </row>
    <row r="222">
      <c r="C222" t="inlineStr">
        <is>
          <t>8. Volume of stationary object||20. Use of energy by stationary object</t>
        </is>
      </c>
      <c r="D222" t="inlineStr">
        <is>
          <t>35,10,19,14</t>
        </is>
      </c>
    </row>
    <row r="223">
      <c r="C223" t="inlineStr">
        <is>
          <t>8. Volume of stationary object||23. Loss of substance</t>
        </is>
      </c>
      <c r="D223" t="inlineStr">
        <is>
          <t>28,18,10,40</t>
        </is>
      </c>
    </row>
    <row r="224">
      <c r="C224" t="inlineStr">
        <is>
          <t>8. Volume of stationary object||25. Loss of time</t>
        </is>
      </c>
      <c r="D224" t="inlineStr">
        <is>
          <t>30,27</t>
        </is>
      </c>
    </row>
    <row r="225">
      <c r="C225" t="inlineStr">
        <is>
          <t>8. Volume of stationary object||26. Amount of substance</t>
        </is>
      </c>
      <c r="D225" t="inlineStr">
        <is>
          <t>3,34,40,29</t>
        </is>
      </c>
    </row>
    <row r="226">
      <c r="C226" t="inlineStr">
        <is>
          <t>8. Volume of stationary object||27. Reliability</t>
        </is>
      </c>
      <c r="D226" t="inlineStr">
        <is>
          <t>10,35,4</t>
        </is>
      </c>
    </row>
    <row r="227">
      <c r="C227" t="inlineStr">
        <is>
          <t>8. Volume of stationary object||28. Measurement accuracy</t>
        </is>
      </c>
      <c r="D227" t="inlineStr">
        <is>
          <t>28,32,1</t>
        </is>
      </c>
    </row>
    <row r="228">
      <c r="C228" t="inlineStr">
        <is>
          <t>8. Volume of stationary object||29. Manufacturing precision</t>
        </is>
      </c>
      <c r="D228" t="inlineStr">
        <is>
          <t>28,35,10,23</t>
        </is>
      </c>
    </row>
    <row r="229">
      <c r="C229" t="inlineStr">
        <is>
          <t>8. Volume of stationary object||30. Object-generated harmful effects</t>
        </is>
      </c>
      <c r="D229" t="inlineStr">
        <is>
          <t>35,10,21</t>
        </is>
      </c>
    </row>
    <row r="230">
      <c r="C230" t="inlineStr">
        <is>
          <t>8. Volume of stationary object||31. Harmful side effects</t>
        </is>
      </c>
      <c r="D230" t="inlineStr">
        <is>
          <t>28,10,21,35</t>
        </is>
      </c>
    </row>
    <row r="231">
      <c r="C231" t="inlineStr">
        <is>
          <t>8. Volume of stationary object||32. Ease of manufacture</t>
        </is>
      </c>
      <c r="D231" t="inlineStr">
        <is>
          <t>1,35,10,28</t>
        </is>
      </c>
    </row>
    <row r="232">
      <c r="C232" t="inlineStr">
        <is>
          <t>8. Volume of stationary object||33. Ease of operation</t>
        </is>
      </c>
      <c r="D232" t="inlineStr">
        <is>
          <t>13,3,36,24</t>
        </is>
      </c>
    </row>
    <row r="233">
      <c r="C233" t="inlineStr">
        <is>
          <t>8. Volume of stationary object||34. Ease of repair</t>
        </is>
      </c>
      <c r="D233" t="inlineStr">
        <is>
          <t>15,37,8</t>
        </is>
      </c>
    </row>
    <row r="234">
      <c r="C234" t="inlineStr">
        <is>
          <t>8. Volume of stationary object||35. Adaptability or versatility</t>
        </is>
      </c>
      <c r="D234" t="inlineStr">
        <is>
          <t>15,10,37,28</t>
        </is>
      </c>
    </row>
    <row r="235">
      <c r="C235" t="inlineStr">
        <is>
          <t>8. Volume of stationary object||36. Device complexity</t>
        </is>
      </c>
      <c r="D235" t="inlineStr">
        <is>
          <t>26,1</t>
        </is>
      </c>
    </row>
    <row r="236">
      <c r="C236" t="inlineStr">
        <is>
          <t>8. Volume of stationary object||37. Difficulty of detecting and measuring</t>
        </is>
      </c>
      <c r="D236" t="inlineStr">
        <is>
          <t>29,1,4,16</t>
        </is>
      </c>
    </row>
    <row r="237">
      <c r="C237" t="inlineStr">
        <is>
          <t>8. Volume of stationary object||38. Extent of automation</t>
        </is>
      </c>
      <c r="D237" t="inlineStr">
        <is>
          <t>2,18,37</t>
        </is>
      </c>
    </row>
    <row r="238">
      <c r="C238" t="inlineStr">
        <is>
          <t>8. Volume of stationary object||39. Productivity</t>
        </is>
      </c>
      <c r="D238" t="inlineStr">
        <is>
          <t>28,10,29,35</t>
        </is>
      </c>
    </row>
    <row r="239">
      <c r="C239" t="inlineStr">
        <is>
          <t>9. Speed||1. Weight of moving object</t>
        </is>
      </c>
      <c r="D239" t="inlineStr">
        <is>
          <t>2,28,13,38</t>
        </is>
      </c>
    </row>
    <row r="240">
      <c r="C240" t="inlineStr">
        <is>
          <t>9. Speed||3. Length of moving object</t>
        </is>
      </c>
      <c r="D240" t="inlineStr">
        <is>
          <t>13,28,15</t>
        </is>
      </c>
    </row>
    <row r="241">
      <c r="C241" t="inlineStr">
        <is>
          <t>9. Speed||5. Area of moving object</t>
        </is>
      </c>
      <c r="D241" t="inlineStr">
        <is>
          <t>29,30,34</t>
        </is>
      </c>
    </row>
    <row r="242">
      <c r="C242" t="inlineStr">
        <is>
          <t>9. Speed||6. Area of stationary object</t>
        </is>
      </c>
      <c r="D242" t="inlineStr">
        <is>
          <t>7,29,34</t>
        </is>
      </c>
    </row>
    <row r="243">
      <c r="C243" t="inlineStr">
        <is>
          <t>9. Speed||7. Volume of moving object</t>
        </is>
      </c>
      <c r="D243" t="inlineStr">
        <is>
          <t>13,28,15,19</t>
        </is>
      </c>
    </row>
    <row r="244">
      <c r="C244" t="inlineStr">
        <is>
          <t>9. Speed||9. Speed</t>
        </is>
      </c>
      <c r="D244" t="inlineStr">
        <is>
          <t>—</t>
        </is>
      </c>
    </row>
    <row r="245">
      <c r="C245" t="inlineStr">
        <is>
          <t>9. Speed||10. Force</t>
        </is>
      </c>
      <c r="D245" t="inlineStr">
        <is>
          <t>28,33,1,18</t>
        </is>
      </c>
    </row>
    <row r="246">
      <c r="C246" t="inlineStr">
        <is>
          <t>9. Speed||11. Stress or pressure</t>
        </is>
      </c>
      <c r="D246" t="inlineStr">
        <is>
          <t>8,3,26,14</t>
        </is>
      </c>
    </row>
    <row r="247">
      <c r="C247" t="inlineStr">
        <is>
          <t>9. Speed||12. Shape</t>
        </is>
      </c>
      <c r="D247" t="inlineStr">
        <is>
          <t>15,37,19</t>
        </is>
      </c>
    </row>
    <row r="248">
      <c r="C248" t="inlineStr">
        <is>
          <t>9. Speed||13. Stability of object composition</t>
        </is>
      </c>
      <c r="D248" t="inlineStr">
        <is>
          <t>28,15</t>
        </is>
      </c>
    </row>
    <row r="249">
      <c r="C249" t="inlineStr">
        <is>
          <t>9. Speed||14. Strength</t>
        </is>
      </c>
      <c r="D249" t="inlineStr">
        <is>
          <t>18,13,34</t>
        </is>
      </c>
    </row>
    <row r="250">
      <c r="C250" t="inlineStr">
        <is>
          <t>9. Speed||15. Duration of action - moving</t>
        </is>
      </c>
      <c r="D250" t="inlineStr">
        <is>
          <t>10,37,36</t>
        </is>
      </c>
    </row>
    <row r="251">
      <c r="C251" t="inlineStr">
        <is>
          <t>9. Speed||17. Temperature</t>
        </is>
      </c>
      <c r="D251" t="inlineStr">
        <is>
          <t>28,30,36,2</t>
        </is>
      </c>
    </row>
    <row r="252">
      <c r="C252" t="inlineStr">
        <is>
          <t>9. Speed||19. Use of energy by moving object</t>
        </is>
      </c>
      <c r="D252" t="inlineStr">
        <is>
          <t>13,28,15,12</t>
        </is>
      </c>
    </row>
    <row r="253">
      <c r="C253" t="inlineStr">
        <is>
          <t>9. Speed||21. Power</t>
        </is>
      </c>
      <c r="D253" t="inlineStr">
        <is>
          <t>6,18,38,40</t>
        </is>
      </c>
    </row>
    <row r="254">
      <c r="C254" t="inlineStr">
        <is>
          <t>9. Speed||22. Loss of energy</t>
        </is>
      </c>
      <c r="D254" t="inlineStr">
        <is>
          <t>35,15,18,34</t>
        </is>
      </c>
    </row>
    <row r="255">
      <c r="C255" t="inlineStr">
        <is>
          <t>9. Speed||23. Loss of substance</t>
        </is>
      </c>
      <c r="D255" t="inlineStr">
        <is>
          <t>35,10,21</t>
        </is>
      </c>
    </row>
    <row r="256">
      <c r="C256" t="inlineStr">
        <is>
          <t>9. Speed||24. Loss of information</t>
        </is>
      </c>
      <c r="D256" t="inlineStr">
        <is>
          <t>10,20,37,35</t>
        </is>
      </c>
    </row>
    <row r="257">
      <c r="C257" t="inlineStr">
        <is>
          <t>9. Speed||25. Loss of time</t>
        </is>
      </c>
      <c r="D257" t="inlineStr">
        <is>
          <t>35,4,34,10</t>
        </is>
      </c>
    </row>
    <row r="258">
      <c r="C258" t="inlineStr">
        <is>
          <t>9. Speed||26. Amount of substance</t>
        </is>
      </c>
      <c r="D258" t="inlineStr">
        <is>
          <t>16,35,10</t>
        </is>
      </c>
    </row>
    <row r="259">
      <c r="C259" t="inlineStr">
        <is>
          <t>9. Speed||27. Reliability</t>
        </is>
      </c>
      <c r="D259" t="inlineStr">
        <is>
          <t>28,33,18,4</t>
        </is>
      </c>
    </row>
    <row r="260">
      <c r="C260" t="inlineStr">
        <is>
          <t>9. Speed||28. Measurement accuracy</t>
        </is>
      </c>
      <c r="D260" t="inlineStr">
        <is>
          <t>10,37,4</t>
        </is>
      </c>
    </row>
    <row r="261">
      <c r="C261" t="inlineStr">
        <is>
          <t>9. Speed||29. Manufacturing precision</t>
        </is>
      </c>
      <c r="D261" t="inlineStr">
        <is>
          <t>14,10,34,40</t>
        </is>
      </c>
    </row>
    <row r="262">
      <c r="C262" t="inlineStr">
        <is>
          <t>9. Speed||30. Object-generated harmful effects</t>
        </is>
      </c>
      <c r="D262" t="inlineStr">
        <is>
          <t>35,2,10,3</t>
        </is>
      </c>
    </row>
    <row r="263">
      <c r="C263" t="inlineStr">
        <is>
          <t>9. Speed||31. Harmful side effects</t>
        </is>
      </c>
      <c r="D263" t="inlineStr">
        <is>
          <t>10,40,16</t>
        </is>
      </c>
    </row>
    <row r="264">
      <c r="C264" t="inlineStr">
        <is>
          <t>9. Speed||32. Ease of manufacture</t>
        </is>
      </c>
      <c r="D264" t="inlineStr">
        <is>
          <t>28,32,1</t>
        </is>
      </c>
    </row>
    <row r="265">
      <c r="C265" t="inlineStr">
        <is>
          <t>9. Speed||33. Ease of operation</t>
        </is>
      </c>
      <c r="D265" t="inlineStr">
        <is>
          <t>32,28,2,24</t>
        </is>
      </c>
    </row>
    <row r="266">
      <c r="C266" t="inlineStr">
        <is>
          <t>9. Speed||34. Ease of repair</t>
        </is>
      </c>
      <c r="D266" t="inlineStr">
        <is>
          <t>34,10,28</t>
        </is>
      </c>
    </row>
    <row r="267">
      <c r="C267" t="inlineStr">
        <is>
          <t>9. Speed||35. Adaptability or versatility</t>
        </is>
      </c>
      <c r="D267" t="inlineStr">
        <is>
          <t>10,28,32,25</t>
        </is>
      </c>
    </row>
    <row r="268">
      <c r="C268" t="inlineStr">
        <is>
          <t>9. Speed||36. Device complexity</t>
        </is>
      </c>
      <c r="D268" t="inlineStr">
        <is>
          <t>13,26</t>
        </is>
      </c>
    </row>
    <row r="269">
      <c r="C269" t="inlineStr">
        <is>
          <t>9. Speed||37. Difficulty of detecting and measuring</t>
        </is>
      </c>
      <c r="D269" t="inlineStr">
        <is>
          <t>2,6,34,14</t>
        </is>
      </c>
    </row>
    <row r="270">
      <c r="C270" t="inlineStr">
        <is>
          <t>9. Speed||38. Extent of automation</t>
        </is>
      </c>
      <c r="D270" t="inlineStr">
        <is>
          <t>35,10,34,28</t>
        </is>
      </c>
    </row>
    <row r="271">
      <c r="C271" t="inlineStr">
        <is>
          <t>9. Speed||39. Productivity</t>
        </is>
      </c>
      <c r="D271" t="inlineStr">
        <is>
          <t>28,10,29,35</t>
        </is>
      </c>
    </row>
    <row r="272">
      <c r="C272" t="inlineStr">
        <is>
          <t>10. Force||1. Weight of moving object</t>
        </is>
      </c>
      <c r="D272" t="inlineStr">
        <is>
          <t>8,1,37,18</t>
        </is>
      </c>
    </row>
    <row r="273">
      <c r="C273" t="inlineStr">
        <is>
          <t>10. Force||2. Weight of stationary object</t>
        </is>
      </c>
      <c r="D273" t="inlineStr">
        <is>
          <t>8,10,19,35</t>
        </is>
      </c>
    </row>
    <row r="274">
      <c r="C274" t="inlineStr">
        <is>
          <t>10. Force||3. Length of moving object</t>
        </is>
      </c>
      <c r="D274" t="inlineStr">
        <is>
          <t>17,10,4</t>
        </is>
      </c>
    </row>
    <row r="275">
      <c r="C275" t="inlineStr">
        <is>
          <t>10. Force||5. Area of moving object</t>
        </is>
      </c>
      <c r="D275" t="inlineStr">
        <is>
          <t>19,30,35,2</t>
        </is>
      </c>
    </row>
    <row r="276">
      <c r="C276" t="inlineStr">
        <is>
          <t>10. Force||6. Area of stationary object</t>
        </is>
      </c>
      <c r="D276" t="inlineStr">
        <is>
          <t>1,18,36,37</t>
        </is>
      </c>
    </row>
    <row r="277">
      <c r="C277" t="inlineStr">
        <is>
          <t>10. Force||7. Volume of moving object</t>
        </is>
      </c>
      <c r="D277" t="inlineStr">
        <is>
          <t>15,9,12,37</t>
        </is>
      </c>
    </row>
    <row r="278">
      <c r="C278" t="inlineStr">
        <is>
          <t>10. Force||8. Volume of stationary object</t>
        </is>
      </c>
      <c r="D278" t="inlineStr">
        <is>
          <t>2,36,25</t>
        </is>
      </c>
    </row>
    <row r="279">
      <c r="C279" t="inlineStr">
        <is>
          <t>10. Force||9. Speed</t>
        </is>
      </c>
      <c r="D279" t="inlineStr">
        <is>
          <t>13,28,15,12</t>
        </is>
      </c>
    </row>
    <row r="280">
      <c r="C280" t="inlineStr">
        <is>
          <t>10. Force||10. Force</t>
        </is>
      </c>
      <c r="D280" t="inlineStr">
        <is>
          <t>—</t>
        </is>
      </c>
    </row>
    <row r="281">
      <c r="C281" t="inlineStr">
        <is>
          <t>10. Force||11. Stress or pressure</t>
        </is>
      </c>
      <c r="D281" t="inlineStr">
        <is>
          <t>36,35,21</t>
        </is>
      </c>
    </row>
    <row r="282">
      <c r="C282" t="inlineStr">
        <is>
          <t>10. Force||12. Shape</t>
        </is>
      </c>
      <c r="D282" t="inlineStr">
        <is>
          <t>35,10,37,40</t>
        </is>
      </c>
    </row>
    <row r="283">
      <c r="C283" t="inlineStr">
        <is>
          <t>10. Force||13. Stability of object composition</t>
        </is>
      </c>
      <c r="D283" t="inlineStr">
        <is>
          <t>35,1,14,16</t>
        </is>
      </c>
    </row>
    <row r="284">
      <c r="C284" t="inlineStr">
        <is>
          <t>10. Force||14. Strength</t>
        </is>
      </c>
      <c r="D284" t="inlineStr">
        <is>
          <t>10,35,40</t>
        </is>
      </c>
    </row>
    <row r="285">
      <c r="C285" t="inlineStr">
        <is>
          <t>10. Force||15. Duration of action - moving</t>
        </is>
      </c>
      <c r="D285" t="inlineStr">
        <is>
          <t>19,2,35,32</t>
        </is>
      </c>
    </row>
    <row r="286">
      <c r="C286" t="inlineStr">
        <is>
          <t>10. Force||17. Temperature</t>
        </is>
      </c>
      <c r="D286" t="inlineStr">
        <is>
          <t>35,10,21</t>
        </is>
      </c>
    </row>
    <row r="287">
      <c r="C287" t="inlineStr">
        <is>
          <t>10. Force||18. Illumination intensity</t>
        </is>
      </c>
      <c r="D287" t="inlineStr">
        <is>
          <t>1</t>
        </is>
      </c>
    </row>
    <row r="288">
      <c r="C288" t="inlineStr">
        <is>
          <t>10. Force||19. Use of energy by moving object</t>
        </is>
      </c>
      <c r="D288" t="inlineStr">
        <is>
          <t>35,10,21</t>
        </is>
      </c>
    </row>
    <row r="289">
      <c r="C289" t="inlineStr">
        <is>
          <t>10. Force||21. Power</t>
        </is>
      </c>
      <c r="D289" t="inlineStr">
        <is>
          <t>19,17,10</t>
        </is>
      </c>
    </row>
    <row r="290">
      <c r="C290" t="inlineStr">
        <is>
          <t>10. Force||22. Loss of energy</t>
        </is>
      </c>
      <c r="D290" t="inlineStr">
        <is>
          <t>1,6</t>
        </is>
      </c>
    </row>
    <row r="291">
      <c r="C291" t="inlineStr">
        <is>
          <t>10. Force||23. Loss of substance</t>
        </is>
      </c>
      <c r="D291" t="inlineStr">
        <is>
          <t>10,35,4</t>
        </is>
      </c>
    </row>
    <row r="292">
      <c r="C292" t="inlineStr">
        <is>
          <t>10. Force||24. Loss of information</t>
        </is>
      </c>
      <c r="D292" t="inlineStr">
        <is>
          <t>14,2</t>
        </is>
      </c>
    </row>
    <row r="293">
      <c r="C293" t="inlineStr">
        <is>
          <t>10. Force||25. Loss of time</t>
        </is>
      </c>
      <c r="D293" t="inlineStr">
        <is>
          <t>15,4,17,28</t>
        </is>
      </c>
    </row>
    <row r="294">
      <c r="C294" t="inlineStr">
        <is>
          <t>10. Force||26. Amount of substance</t>
        </is>
      </c>
      <c r="D294" t="inlineStr">
        <is>
          <t>3,35,13,21</t>
        </is>
      </c>
    </row>
    <row r="295">
      <c r="C295" t="inlineStr">
        <is>
          <t>10. Force||27. Reliability</t>
        </is>
      </c>
      <c r="D295" t="inlineStr">
        <is>
          <t>35,10,14,3</t>
        </is>
      </c>
    </row>
    <row r="296">
      <c r="C296" t="inlineStr">
        <is>
          <t>10. Force||28. Measurement accuracy</t>
        </is>
      </c>
      <c r="D296" t="inlineStr">
        <is>
          <t>15,17,30,26</t>
        </is>
      </c>
    </row>
    <row r="297">
      <c r="C297" t="inlineStr">
        <is>
          <t>10. Force||29. Manufacturing precision</t>
        </is>
      </c>
      <c r="D297" t="inlineStr">
        <is>
          <t>15,29,28</t>
        </is>
      </c>
    </row>
    <row r="298">
      <c r="C298" t="inlineStr">
        <is>
          <t>10. Force||30. Object-generated harmful effects</t>
        </is>
      </c>
      <c r="D298" t="inlineStr">
        <is>
          <t>14,15,22,35</t>
        </is>
      </c>
    </row>
    <row r="299">
      <c r="C299" t="inlineStr">
        <is>
          <t>10. Force||31. Harmful side effects</t>
        </is>
      </c>
      <c r="D299" t="inlineStr">
        <is>
          <t>10,3,18,40</t>
        </is>
      </c>
    </row>
    <row r="300">
      <c r="C300" t="inlineStr">
        <is>
          <t>10. Force||32. Ease of manufacture</t>
        </is>
      </c>
      <c r="D300" t="inlineStr">
        <is>
          <t>26,32,27</t>
        </is>
      </c>
    </row>
    <row r="301">
      <c r="C301" t="inlineStr">
        <is>
          <t>10. Force||33. Ease of operation</t>
        </is>
      </c>
      <c r="D301" t="inlineStr">
        <is>
          <t>26,10,28</t>
        </is>
      </c>
    </row>
    <row r="302">
      <c r="C302" t="inlineStr">
        <is>
          <t>10. Force||34. Ease of repair</t>
        </is>
      </c>
      <c r="D302" t="inlineStr">
        <is>
          <t>10,26,35</t>
        </is>
      </c>
    </row>
    <row r="303">
      <c r="C303" t="inlineStr">
        <is>
          <t>10. Force||35. Adaptability or versatility</t>
        </is>
      </c>
      <c r="D303" t="inlineStr">
        <is>
          <t>19,35,10,38</t>
        </is>
      </c>
    </row>
    <row r="304">
      <c r="C304" t="inlineStr">
        <is>
          <t>10. Force||36. Device complexity</t>
        </is>
      </c>
      <c r="D304" t="inlineStr">
        <is>
          <t>16,26,21,2</t>
        </is>
      </c>
    </row>
    <row r="305">
      <c r="C305" t="inlineStr">
        <is>
          <t>10. Force||37. Difficulty of detecting and measuring</t>
        </is>
      </c>
      <c r="D305" t="inlineStr">
        <is>
          <t>36,37</t>
        </is>
      </c>
    </row>
    <row r="306">
      <c r="C306" t="inlineStr">
        <is>
          <t>10. Force||38. Extent of automation</t>
        </is>
      </c>
      <c r="D306" t="inlineStr">
        <is>
          <t>14,10,34,40</t>
        </is>
      </c>
    </row>
    <row r="307">
      <c r="C307" t="inlineStr">
        <is>
          <t>10. Force||39. Productivity</t>
        </is>
      </c>
      <c r="D307" t="inlineStr">
        <is>
          <t>35,28,2,24</t>
        </is>
      </c>
    </row>
    <row r="308">
      <c r="C308" t="inlineStr">
        <is>
          <t>11. Stress or pressure||1. Weight of moving object</t>
        </is>
      </c>
      <c r="D308" t="inlineStr">
        <is>
          <t>10,36,37,40</t>
        </is>
      </c>
    </row>
    <row r="309">
      <c r="C309" t="inlineStr">
        <is>
          <t>11. Stress or pressure||2. Weight of stationary object</t>
        </is>
      </c>
      <c r="D309" t="inlineStr">
        <is>
          <t>13,19,10,37</t>
        </is>
      </c>
    </row>
    <row r="310">
      <c r="C310" t="inlineStr">
        <is>
          <t>11. Stress or pressure||3. Length of moving object</t>
        </is>
      </c>
      <c r="D310" t="inlineStr">
        <is>
          <t>1,8,35</t>
        </is>
      </c>
    </row>
    <row r="311">
      <c r="C311" t="inlineStr">
        <is>
          <t>11. Stress or pressure||4. Length of stationary object</t>
        </is>
      </c>
      <c r="D311" t="inlineStr">
        <is>
          <t>28,10</t>
        </is>
      </c>
    </row>
    <row r="312">
      <c r="C312" t="inlineStr">
        <is>
          <t>11. Stress or pressure||5. Area of moving object</t>
        </is>
      </c>
      <c r="D312" t="inlineStr">
        <is>
          <t>19,10,15</t>
        </is>
      </c>
    </row>
    <row r="313">
      <c r="C313" t="inlineStr">
        <is>
          <t>11. Stress or pressure||6. Area of stationary object</t>
        </is>
      </c>
      <c r="D313" t="inlineStr">
        <is>
          <t>10,15,36,37</t>
        </is>
      </c>
    </row>
    <row r="314">
      <c r="C314" t="inlineStr">
        <is>
          <t>11. Stress or pressure||7. Volume of moving object</t>
        </is>
      </c>
      <c r="D314" t="inlineStr">
        <is>
          <t>35,22,40,15</t>
        </is>
      </c>
    </row>
    <row r="315">
      <c r="C315" t="inlineStr">
        <is>
          <t>11. Stress or pressure||8. Volume of stationary object</t>
        </is>
      </c>
      <c r="D315" t="inlineStr">
        <is>
          <t>24,35</t>
        </is>
      </c>
    </row>
    <row r="316">
      <c r="C316" t="inlineStr">
        <is>
          <t>11. Stress or pressure||9. Speed</t>
        </is>
      </c>
      <c r="D316" t="inlineStr">
        <is>
          <t>28,15,10,36</t>
        </is>
      </c>
    </row>
    <row r="317">
      <c r="C317" t="inlineStr">
        <is>
          <t>11. Stress or pressure||10. Force</t>
        </is>
      </c>
      <c r="D317" t="inlineStr">
        <is>
          <t>36,35,21</t>
        </is>
      </c>
    </row>
    <row r="318">
      <c r="C318" t="inlineStr">
        <is>
          <t>11. Stress or pressure||11. Stress or pressure</t>
        </is>
      </c>
      <c r="D318" t="inlineStr">
        <is>
          <t>—</t>
        </is>
      </c>
    </row>
    <row r="319">
      <c r="C319" t="inlineStr">
        <is>
          <t>11. Stress or pressure||12. Shape</t>
        </is>
      </c>
      <c r="D319" t="inlineStr">
        <is>
          <t>35,10,40,34</t>
        </is>
      </c>
    </row>
    <row r="320">
      <c r="C320" t="inlineStr">
        <is>
          <t>11. Stress or pressure||13. Stability of object composition</t>
        </is>
      </c>
      <c r="D320" t="inlineStr">
        <is>
          <t>35,4,15,10</t>
        </is>
      </c>
    </row>
    <row r="321">
      <c r="C321" t="inlineStr">
        <is>
          <t>11. Stress or pressure||14. Strength</t>
        </is>
      </c>
      <c r="D321" t="inlineStr">
        <is>
          <t>35,33,2,40</t>
        </is>
      </c>
    </row>
    <row r="322">
      <c r="C322" t="inlineStr">
        <is>
          <t>11. Stress or pressure||15. Duration of action - moving</t>
        </is>
      </c>
      <c r="D322" t="inlineStr">
        <is>
          <t>9,18,3,40</t>
        </is>
      </c>
    </row>
    <row r="323">
      <c r="C323" t="inlineStr">
        <is>
          <t>11. Stress or pressure||17. Temperature</t>
        </is>
      </c>
      <c r="D323" t="inlineStr">
        <is>
          <t>35,39,19,2</t>
        </is>
      </c>
    </row>
    <row r="324">
      <c r="C324" t="inlineStr">
        <is>
          <t>11. Stress or pressure||19. Use of energy by moving object</t>
        </is>
      </c>
      <c r="D324" t="inlineStr">
        <is>
          <t>14,24,10,37</t>
        </is>
      </c>
    </row>
    <row r="325">
      <c r="C325" t="inlineStr">
        <is>
          <t>11. Stress or pressure||21. Power</t>
        </is>
      </c>
      <c r="D325" t="inlineStr">
        <is>
          <t>10,35,14</t>
        </is>
      </c>
    </row>
    <row r="326">
      <c r="C326" t="inlineStr">
        <is>
          <t>11. Stress or pressure||22. Loss of energy</t>
        </is>
      </c>
      <c r="D326" t="inlineStr">
        <is>
          <t>2,36,25</t>
        </is>
      </c>
    </row>
    <row r="327">
      <c r="C327" t="inlineStr">
        <is>
          <t>11. Stress or pressure||23. Loss of substance</t>
        </is>
      </c>
      <c r="D327" t="inlineStr">
        <is>
          <t>35,24</t>
        </is>
      </c>
    </row>
    <row r="328">
      <c r="C328" t="inlineStr">
        <is>
          <t>11. Stress or pressure||24. Loss of information</t>
        </is>
      </c>
      <c r="D328" t="inlineStr">
        <is>
          <t>10,14,35</t>
        </is>
      </c>
    </row>
    <row r="329">
      <c r="C329" t="inlineStr">
        <is>
          <t>11. Stress or pressure||25. Loss of time</t>
        </is>
      </c>
      <c r="D329" t="inlineStr">
        <is>
          <t>35,4,15,10</t>
        </is>
      </c>
    </row>
    <row r="330">
      <c r="C330" t="inlineStr">
        <is>
          <t>11. Stress or pressure||26. Amount of substance</t>
        </is>
      </c>
      <c r="D330" t="inlineStr">
        <is>
          <t>35,33,29,31</t>
        </is>
      </c>
    </row>
    <row r="331">
      <c r="C331" t="inlineStr">
        <is>
          <t>11. Stress or pressure||27. Reliability</t>
        </is>
      </c>
      <c r="D331" t="inlineStr">
        <is>
          <t>10,35,40,4</t>
        </is>
      </c>
    </row>
    <row r="332">
      <c r="C332" t="inlineStr">
        <is>
          <t>11. Stress or pressure||28. Measurement accuracy</t>
        </is>
      </c>
      <c r="D332" t="inlineStr">
        <is>
          <t>28,32,1</t>
        </is>
      </c>
    </row>
    <row r="333">
      <c r="C333" t="inlineStr">
        <is>
          <t>11. Stress or pressure||29. Manufacturing precision</t>
        </is>
      </c>
      <c r="D333" t="inlineStr">
        <is>
          <t>3,35,40,10</t>
        </is>
      </c>
    </row>
    <row r="334">
      <c r="C334" t="inlineStr">
        <is>
          <t>11. Stress or pressure||30. Object-generated harmful effects</t>
        </is>
      </c>
      <c r="D334" t="inlineStr">
        <is>
          <t>22,2,37</t>
        </is>
      </c>
    </row>
    <row r="335">
      <c r="C335" t="inlineStr">
        <is>
          <t>11. Stress or pressure||31. Harmful side effects</t>
        </is>
      </c>
      <c r="D335" t="inlineStr">
        <is>
          <t>2,33,27,18</t>
        </is>
      </c>
    </row>
    <row r="336">
      <c r="C336" t="inlineStr">
        <is>
          <t>11. Stress or pressure||32. Ease of manufacture</t>
        </is>
      </c>
      <c r="D336" t="inlineStr">
        <is>
          <t>35,1,32,10</t>
        </is>
      </c>
    </row>
    <row r="337">
      <c r="C337" t="inlineStr">
        <is>
          <t>11. Stress or pressure||33. Ease of operation</t>
        </is>
      </c>
      <c r="D337" t="inlineStr">
        <is>
          <t>35,40,28</t>
        </is>
      </c>
    </row>
    <row r="338">
      <c r="C338" t="inlineStr">
        <is>
          <t>11. Stress or pressure||34. Ease of repair</t>
        </is>
      </c>
      <c r="D338" t="inlineStr">
        <is>
          <t>35,10,28,1</t>
        </is>
      </c>
    </row>
    <row r="339">
      <c r="C339" t="inlineStr">
        <is>
          <t>11. Stress or pressure||35. Adaptability or versatility</t>
        </is>
      </c>
      <c r="D339" t="inlineStr">
        <is>
          <t>22,35,18,39</t>
        </is>
      </c>
    </row>
    <row r="340">
      <c r="C340" t="inlineStr">
        <is>
          <t>11. Stress or pressure||36. Device complexity</t>
        </is>
      </c>
      <c r="D340" t="inlineStr">
        <is>
          <t>35,22,1,39</t>
        </is>
      </c>
    </row>
    <row r="341">
      <c r="C341" t="inlineStr">
        <is>
          <t>11. Stress or pressure||38. Extent of automation</t>
        </is>
      </c>
      <c r="D341" t="inlineStr">
        <is>
          <t>35,28,1,40</t>
        </is>
      </c>
    </row>
    <row r="342">
      <c r="C342" t="inlineStr">
        <is>
          <t>11. Stress or pressure||39. Productivity</t>
        </is>
      </c>
      <c r="D342" t="inlineStr">
        <is>
          <t>28,10,35</t>
        </is>
      </c>
    </row>
    <row r="343">
      <c r="C343" t="inlineStr">
        <is>
          <t>12. Shape||1. Weight of moving object</t>
        </is>
      </c>
      <c r="D343" t="inlineStr">
        <is>
          <t>8,10,29,40</t>
        </is>
      </c>
    </row>
    <row r="344">
      <c r="C344" t="inlineStr">
        <is>
          <t>12. Shape||2. Weight of stationary object</t>
        </is>
      </c>
      <c r="D344" t="inlineStr">
        <is>
          <t>15,10,26,3</t>
        </is>
      </c>
    </row>
    <row r="345">
      <c r="C345" t="inlineStr">
        <is>
          <t>12. Shape||3. Length of moving object</t>
        </is>
      </c>
      <c r="D345" t="inlineStr">
        <is>
          <t>29,34,5,4</t>
        </is>
      </c>
    </row>
    <row r="346">
      <c r="C346" t="inlineStr">
        <is>
          <t>12. Shape||4. Length of stationary object</t>
        </is>
      </c>
      <c r="D346" t="inlineStr">
        <is>
          <t>1,40,35</t>
        </is>
      </c>
    </row>
    <row r="347">
      <c r="C347" t="inlineStr">
        <is>
          <t>12. Shape||5. Area of moving object</t>
        </is>
      </c>
      <c r="D347" t="inlineStr">
        <is>
          <t>14,10,34,40</t>
        </is>
      </c>
    </row>
    <row r="348">
      <c r="C348" t="inlineStr">
        <is>
          <t>12. Shape||6. Area of stationary object</t>
        </is>
      </c>
      <c r="D348" t="inlineStr">
        <is>
          <t>7,2,35</t>
        </is>
      </c>
    </row>
    <row r="349">
      <c r="C349" t="inlineStr">
        <is>
          <t>12. Shape||7. Volume of moving object</t>
        </is>
      </c>
      <c r="D349" t="inlineStr">
        <is>
          <t>35,15,34,18</t>
        </is>
      </c>
    </row>
    <row r="350">
      <c r="C350" t="inlineStr">
        <is>
          <t>12. Shape||8. Volume of stationary object</t>
        </is>
      </c>
      <c r="D350" t="inlineStr">
        <is>
          <t>35,10,37,40</t>
        </is>
      </c>
    </row>
    <row r="351">
      <c r="C351" t="inlineStr">
        <is>
          <t>12. Shape||9. Speed</t>
        </is>
      </c>
      <c r="D351" t="inlineStr">
        <is>
          <t>34,15,10,14</t>
        </is>
      </c>
    </row>
    <row r="352">
      <c r="C352" t="inlineStr">
        <is>
          <t>12. Shape||10. Force</t>
        </is>
      </c>
      <c r="D352" t="inlineStr">
        <is>
          <t>33,1,28,13</t>
        </is>
      </c>
    </row>
    <row r="353">
      <c r="C353" t="inlineStr">
        <is>
          <t>12. Shape||11. Stress or pressure</t>
        </is>
      </c>
      <c r="D353" t="inlineStr">
        <is>
          <t>30,14,10,40</t>
        </is>
      </c>
    </row>
    <row r="354">
      <c r="C354" t="inlineStr">
        <is>
          <t>12. Shape||12. Shape</t>
        </is>
      </c>
      <c r="D354" t="inlineStr">
        <is>
          <t>—</t>
        </is>
      </c>
    </row>
    <row r="355">
      <c r="C355" t="inlineStr">
        <is>
          <t>12. Shape||13. Stability of object composition</t>
        </is>
      </c>
      <c r="D355" t="inlineStr">
        <is>
          <t>10,40,16</t>
        </is>
      </c>
    </row>
    <row r="356">
      <c r="C356" t="inlineStr">
        <is>
          <t>12. Shape||14. Strength</t>
        </is>
      </c>
      <c r="D356" t="inlineStr">
        <is>
          <t>10,40,28,34</t>
        </is>
      </c>
    </row>
    <row r="357">
      <c r="C357" t="inlineStr">
        <is>
          <t>12. Shape||15. Duration of action - moving</t>
        </is>
      </c>
      <c r="D357" t="inlineStr">
        <is>
          <t>10,35,4,18</t>
        </is>
      </c>
    </row>
    <row r="358">
      <c r="C358" t="inlineStr">
        <is>
          <t>12. Shape||17. Temperature</t>
        </is>
      </c>
      <c r="D358" t="inlineStr">
        <is>
          <t>35,19,32,39</t>
        </is>
      </c>
    </row>
    <row r="359">
      <c r="C359" t="inlineStr">
        <is>
          <t>12. Shape||18. Illumination intensity</t>
        </is>
      </c>
      <c r="D359" t="inlineStr">
        <is>
          <t>2,32</t>
        </is>
      </c>
    </row>
    <row r="360">
      <c r="C360" t="inlineStr">
        <is>
          <t>12. Shape||19. Use of energy by moving object</t>
        </is>
      </c>
      <c r="D360" t="inlineStr">
        <is>
          <t>15,37,19</t>
        </is>
      </c>
    </row>
    <row r="361">
      <c r="C361" t="inlineStr">
        <is>
          <t>12. Shape||20. Use of energy by stationary object</t>
        </is>
      </c>
      <c r="D361" t="inlineStr">
        <is>
          <t>15,13,39</t>
        </is>
      </c>
    </row>
    <row r="362">
      <c r="C362" t="inlineStr">
        <is>
          <t>12. Shape||21. Power</t>
        </is>
      </c>
      <c r="D362" t="inlineStr">
        <is>
          <t>35,19,32,39</t>
        </is>
      </c>
    </row>
    <row r="363">
      <c r="C363" t="inlineStr">
        <is>
          <t>12. Shape||22. Loss of energy</t>
        </is>
      </c>
      <c r="D363" t="inlineStr">
        <is>
          <t>7,2,35</t>
        </is>
      </c>
    </row>
    <row r="364">
      <c r="C364" t="inlineStr">
        <is>
          <t>12. Shape||23. Loss of substance</t>
        </is>
      </c>
      <c r="D364" t="inlineStr">
        <is>
          <t>35,10,25</t>
        </is>
      </c>
    </row>
    <row r="365">
      <c r="C365" t="inlineStr">
        <is>
          <t>12. Shape||24. Loss of information</t>
        </is>
      </c>
      <c r="D365" t="inlineStr">
        <is>
          <t>10,14,35</t>
        </is>
      </c>
    </row>
    <row r="366">
      <c r="C366" t="inlineStr">
        <is>
          <t>12. Shape||25. Loss of time</t>
        </is>
      </c>
      <c r="D366" t="inlineStr">
        <is>
          <t>14,9,22,35</t>
        </is>
      </c>
    </row>
    <row r="367">
      <c r="C367" t="inlineStr">
        <is>
          <t>12. Shape||26. Amount of substance</t>
        </is>
      </c>
      <c r="D367" t="inlineStr">
        <is>
          <t>22,14,19,32</t>
        </is>
      </c>
    </row>
    <row r="368">
      <c r="C368" t="inlineStr">
        <is>
          <t>12. Shape||27. Reliability</t>
        </is>
      </c>
      <c r="D368" t="inlineStr">
        <is>
          <t>13,35,39,18</t>
        </is>
      </c>
    </row>
    <row r="369">
      <c r="C369" t="inlineStr">
        <is>
          <t>12. Shape||28. Measurement accuracy</t>
        </is>
      </c>
      <c r="D369" t="inlineStr">
        <is>
          <t>28,32,35</t>
        </is>
      </c>
    </row>
    <row r="370">
      <c r="C370" t="inlineStr">
        <is>
          <t>12. Shape||29. Manufacturing precision</t>
        </is>
      </c>
      <c r="D370" t="inlineStr">
        <is>
          <t>28,32,23,16</t>
        </is>
      </c>
    </row>
    <row r="371">
      <c r="C371" t="inlineStr">
        <is>
          <t>12. Shape||30. Object-generated harmful effects</t>
        </is>
      </c>
      <c r="D371" t="inlineStr">
        <is>
          <t>22,2,37</t>
        </is>
      </c>
    </row>
    <row r="372">
      <c r="C372" t="inlineStr">
        <is>
          <t>12. Shape||31. Harmful side effects</t>
        </is>
      </c>
      <c r="D372" t="inlineStr">
        <is>
          <t>13,35,1,16</t>
        </is>
      </c>
    </row>
    <row r="373">
      <c r="C373" t="inlineStr">
        <is>
          <t>12. Shape||32. Ease of manufacture</t>
        </is>
      </c>
      <c r="D373" t="inlineStr">
        <is>
          <t>22,10,35,28</t>
        </is>
      </c>
    </row>
    <row r="374">
      <c r="C374" t="inlineStr">
        <is>
          <t>12. Shape||33. Ease of operation</t>
        </is>
      </c>
      <c r="D374" t="inlineStr">
        <is>
          <t>22,10,35</t>
        </is>
      </c>
    </row>
    <row r="375">
      <c r="C375" t="inlineStr">
        <is>
          <t>12. Shape||34. Ease of repair</t>
        </is>
      </c>
      <c r="D375" t="inlineStr">
        <is>
          <t>22,10,1</t>
        </is>
      </c>
    </row>
    <row r="376">
      <c r="C376" t="inlineStr">
        <is>
          <t>12. Shape||35. Adaptability or versatility</t>
        </is>
      </c>
      <c r="D376" t="inlineStr">
        <is>
          <t>1,22,35,28</t>
        </is>
      </c>
    </row>
    <row r="377">
      <c r="C377" t="inlineStr">
        <is>
          <t>12. Shape||36. Device complexity</t>
        </is>
      </c>
      <c r="D377" t="inlineStr">
        <is>
          <t>17,32,13,38</t>
        </is>
      </c>
    </row>
    <row r="378">
      <c r="C378" t="inlineStr">
        <is>
          <t>12. Shape||37. Difficulty of detecting and measuring</t>
        </is>
      </c>
      <c r="D378" t="inlineStr">
        <is>
          <t>28,32,13</t>
        </is>
      </c>
    </row>
    <row r="379">
      <c r="C379" t="inlineStr">
        <is>
          <t>12. Shape||38. Extent of automation</t>
        </is>
      </c>
      <c r="D379" t="inlineStr">
        <is>
          <t>1,32,17,28</t>
        </is>
      </c>
    </row>
    <row r="380">
      <c r="C380" t="inlineStr">
        <is>
          <t>12. Shape||39. Productivity</t>
        </is>
      </c>
      <c r="D380" t="inlineStr">
        <is>
          <t>10,35,28,29</t>
        </is>
      </c>
    </row>
    <row r="381">
      <c r="C381" t="inlineStr">
        <is>
          <t>13. Stability of object composition||1. Weight of moving object</t>
        </is>
      </c>
      <c r="D381" t="inlineStr">
        <is>
          <t>21,35,2,39</t>
        </is>
      </c>
    </row>
    <row r="382">
      <c r="C382" t="inlineStr">
        <is>
          <t>13. Stability of object composition||2. Weight of stationary object</t>
        </is>
      </c>
      <c r="D382" t="inlineStr">
        <is>
          <t>26,39,1,40</t>
        </is>
      </c>
    </row>
    <row r="383">
      <c r="C383" t="inlineStr">
        <is>
          <t>13. Stability of object composition||3. Length of moving object</t>
        </is>
      </c>
      <c r="D383" t="inlineStr">
        <is>
          <t>28,10</t>
        </is>
      </c>
    </row>
    <row r="384">
      <c r="C384" t="inlineStr">
        <is>
          <t>13. Stability of object composition||4. Length of stationary object</t>
        </is>
      </c>
      <c r="D384" t="inlineStr">
        <is>
          <t>28,10</t>
        </is>
      </c>
    </row>
    <row r="385">
      <c r="C385" t="inlineStr">
        <is>
          <t>13. Stability of object composition||5. Area of moving object</t>
        </is>
      </c>
      <c r="D385" t="inlineStr">
        <is>
          <t>14,9,13,15</t>
        </is>
      </c>
    </row>
    <row r="386">
      <c r="C386" t="inlineStr">
        <is>
          <t>13. Stability of object composition||6. Area of stationary object</t>
        </is>
      </c>
      <c r="D386" t="inlineStr">
        <is>
          <t>1,6,2,36</t>
        </is>
      </c>
    </row>
    <row r="387">
      <c r="C387" t="inlineStr">
        <is>
          <t>13. Stability of object composition||7. Volume of moving object</t>
        </is>
      </c>
      <c r="D387" t="inlineStr">
        <is>
          <t>35,1,14,16</t>
        </is>
      </c>
    </row>
    <row r="388">
      <c r="C388" t="inlineStr">
        <is>
          <t>13. Stability of object composition||8. Volume of stationary object</t>
        </is>
      </c>
      <c r="D388" t="inlineStr">
        <is>
          <t>34,28,35,40</t>
        </is>
      </c>
    </row>
    <row r="389">
      <c r="C389" t="inlineStr">
        <is>
          <t>13. Stability of object composition||9. Speed</t>
        </is>
      </c>
      <c r="D389" t="inlineStr">
        <is>
          <t>33,15,28,18</t>
        </is>
      </c>
    </row>
    <row r="390">
      <c r="C390" t="inlineStr">
        <is>
          <t>13. Stability of object composition||10. Force</t>
        </is>
      </c>
      <c r="D390" t="inlineStr">
        <is>
          <t>10,35,18,3</t>
        </is>
      </c>
    </row>
    <row r="391">
      <c r="C391" t="inlineStr">
        <is>
          <t>13. Stability of object composition||11. Stress or pressure</t>
        </is>
      </c>
      <c r="D391" t="inlineStr">
        <is>
          <t>35,10,18</t>
        </is>
      </c>
    </row>
    <row r="392">
      <c r="C392" t="inlineStr">
        <is>
          <t>13. Stability of object composition||12. Shape</t>
        </is>
      </c>
      <c r="D392" t="inlineStr">
        <is>
          <t>35,40,27,39</t>
        </is>
      </c>
    </row>
    <row r="393">
      <c r="C393" t="inlineStr">
        <is>
          <t>13. Stability of object composition||13. Stability of object composition</t>
        </is>
      </c>
      <c r="D393" t="inlineStr">
        <is>
          <t>—</t>
        </is>
      </c>
    </row>
    <row r="394">
      <c r="C394" t="inlineStr">
        <is>
          <t>13. Stability of object composition||14. Strength</t>
        </is>
      </c>
      <c r="D394" t="inlineStr">
        <is>
          <t>28,6,35,18</t>
        </is>
      </c>
    </row>
    <row r="395">
      <c r="C395" t="inlineStr">
        <is>
          <t>13. Stability of object composition||15. Duration of action - moving</t>
        </is>
      </c>
      <c r="D395" t="inlineStr">
        <is>
          <t>32,35,40,4</t>
        </is>
      </c>
    </row>
    <row r="396">
      <c r="C396" t="inlineStr">
        <is>
          <t>13. Stability of object composition||17. Temperature</t>
        </is>
      </c>
      <c r="D396" t="inlineStr">
        <is>
          <t>2,35,40</t>
        </is>
      </c>
    </row>
    <row r="397">
      <c r="C397" t="inlineStr">
        <is>
          <t>13. Stability of object composition||19. Use of energy by moving object</t>
        </is>
      </c>
      <c r="D397" t="inlineStr">
        <is>
          <t>22,1,18,4</t>
        </is>
      </c>
    </row>
    <row r="398">
      <c r="C398" t="inlineStr">
        <is>
          <t>13. Stability of object composition||22. Loss of energy</t>
        </is>
      </c>
      <c r="D398" t="inlineStr">
        <is>
          <t>17,9,15</t>
        </is>
      </c>
    </row>
    <row r="399">
      <c r="C399" t="inlineStr">
        <is>
          <t>13. Stability of object composition||23. Loss of substance</t>
        </is>
      </c>
      <c r="D399" t="inlineStr">
        <is>
          <t>13,27,10,35</t>
        </is>
      </c>
    </row>
    <row r="400">
      <c r="C400" t="inlineStr">
        <is>
          <t>13. Stability of object composition||24. Loss of information</t>
        </is>
      </c>
      <c r="D400" t="inlineStr">
        <is>
          <t>2,22,35</t>
        </is>
      </c>
    </row>
    <row r="401">
      <c r="C401" t="inlineStr">
        <is>
          <t>13. Stability of object composition||25. Loss of time</t>
        </is>
      </c>
      <c r="D401" t="inlineStr">
        <is>
          <t>10,4,29,15</t>
        </is>
      </c>
    </row>
    <row r="402">
      <c r="C402" t="inlineStr">
        <is>
          <t>13. Stability of object composition||26. Amount of substance</t>
        </is>
      </c>
      <c r="D402" t="inlineStr">
        <is>
          <t>35,29</t>
        </is>
      </c>
    </row>
    <row r="403">
      <c r="C403" t="inlineStr">
        <is>
          <t>13. Stability of object composition||27. Reliability</t>
        </is>
      </c>
      <c r="D403" t="inlineStr">
        <is>
          <t>3,35,40,10</t>
        </is>
      </c>
    </row>
    <row r="404">
      <c r="C404" t="inlineStr">
        <is>
          <t>13. Stability of object composition||28. Measurement accuracy</t>
        </is>
      </c>
      <c r="D404" t="inlineStr">
        <is>
          <t>11,28</t>
        </is>
      </c>
    </row>
    <row r="405">
      <c r="C405" t="inlineStr">
        <is>
          <t>13. Stability of object composition||29. Manufacturing precision</t>
        </is>
      </c>
      <c r="D405" t="inlineStr">
        <is>
          <t>2,35,40,10</t>
        </is>
      </c>
    </row>
    <row r="406">
      <c r="C406" t="inlineStr">
        <is>
          <t>13. Stability of object composition||30. Object-generated harmful effects</t>
        </is>
      </c>
      <c r="D406" t="inlineStr">
        <is>
          <t>1,35,28,18</t>
        </is>
      </c>
    </row>
    <row r="407">
      <c r="C407" t="inlineStr">
        <is>
          <t>13. Stability of object composition||31. Harmful side effects</t>
        </is>
      </c>
      <c r="D407" t="inlineStr">
        <is>
          <t>35,40,27,39</t>
        </is>
      </c>
    </row>
    <row r="408">
      <c r="C408" t="inlineStr">
        <is>
          <t>13. Stability of object composition||32. Ease of manufacture</t>
        </is>
      </c>
      <c r="D408" t="inlineStr">
        <is>
          <t>1,13,32</t>
        </is>
      </c>
    </row>
    <row r="409">
      <c r="C409" t="inlineStr">
        <is>
          <t>13. Stability of object composition||33. Ease of operation</t>
        </is>
      </c>
      <c r="D409" t="inlineStr">
        <is>
          <t>35,1,32,13</t>
        </is>
      </c>
    </row>
    <row r="410">
      <c r="C410" t="inlineStr">
        <is>
          <t>13. Stability of object composition||34. Ease of repair</t>
        </is>
      </c>
      <c r="D410" t="inlineStr">
        <is>
          <t>1,35,32</t>
        </is>
      </c>
    </row>
    <row r="411">
      <c r="C411" t="inlineStr">
        <is>
          <t>13. Stability of object composition||35. Adaptability or versatility</t>
        </is>
      </c>
      <c r="D411" t="inlineStr">
        <is>
          <t>35,30,14,24</t>
        </is>
      </c>
    </row>
    <row r="412">
      <c r="C412" t="inlineStr">
        <is>
          <t>13. Stability of object composition||36. Device complexity</t>
        </is>
      </c>
      <c r="D412" t="inlineStr">
        <is>
          <t>10,35,13</t>
        </is>
      </c>
    </row>
    <row r="413">
      <c r="C413" t="inlineStr">
        <is>
          <t>13. Stability of object composition||37. Difficulty of detecting and measuring</t>
        </is>
      </c>
      <c r="D413" t="inlineStr">
        <is>
          <t>28,32,35</t>
        </is>
      </c>
    </row>
    <row r="414">
      <c r="C414" t="inlineStr">
        <is>
          <t>13. Stability of object composition||38. Extent of automation</t>
        </is>
      </c>
      <c r="D414" t="inlineStr">
        <is>
          <t>26,2</t>
        </is>
      </c>
    </row>
    <row r="415">
      <c r="C415" t="inlineStr">
        <is>
          <t>13. Stability of object composition||39. Productivity</t>
        </is>
      </c>
      <c r="D415" t="inlineStr">
        <is>
          <t>35,28</t>
        </is>
      </c>
    </row>
    <row r="416">
      <c r="C416" t="inlineStr">
        <is>
          <t>14. Strength||1. Weight of moving object</t>
        </is>
      </c>
      <c r="D416" t="inlineStr">
        <is>
          <t>1,8,40,15</t>
        </is>
      </c>
    </row>
    <row r="417">
      <c r="C417" t="inlineStr">
        <is>
          <t>14. Strength||2. Weight of stationary object</t>
        </is>
      </c>
      <c r="D417" t="inlineStr">
        <is>
          <t>40,26,27,1</t>
        </is>
      </c>
    </row>
    <row r="418">
      <c r="C418" t="inlineStr">
        <is>
          <t>14. Strength||3. Length of moving object</t>
        </is>
      </c>
      <c r="D418" t="inlineStr">
        <is>
          <t>1,15,8,35</t>
        </is>
      </c>
    </row>
    <row r="419">
      <c r="C419" t="inlineStr">
        <is>
          <t>14. Strength||4. Length of stationary object</t>
        </is>
      </c>
      <c r="D419" t="inlineStr">
        <is>
          <t>15,14,28,26</t>
        </is>
      </c>
    </row>
    <row r="420">
      <c r="C420" t="inlineStr">
        <is>
          <t>14. Strength||5. Area of moving object</t>
        </is>
      </c>
      <c r="D420" t="inlineStr">
        <is>
          <t>3,34,40,29</t>
        </is>
      </c>
    </row>
    <row r="421">
      <c r="C421" t="inlineStr">
        <is>
          <t>14. Strength||6. Area of stationary object</t>
        </is>
      </c>
      <c r="D421" t="inlineStr">
        <is>
          <t>10,14,29,40</t>
        </is>
      </c>
    </row>
    <row r="422">
      <c r="C422" t="inlineStr">
        <is>
          <t>14. Strength||7. Volume of moving object</t>
        </is>
      </c>
      <c r="D422" t="inlineStr">
        <is>
          <t>10,15,14,7</t>
        </is>
      </c>
    </row>
    <row r="423">
      <c r="C423" t="inlineStr">
        <is>
          <t>14. Strength||8. Volume of stationary object</t>
        </is>
      </c>
      <c r="D423" t="inlineStr">
        <is>
          <t>9,14,17,15</t>
        </is>
      </c>
    </row>
    <row r="424">
      <c r="C424" t="inlineStr">
        <is>
          <t>14. Strength||9. Speed</t>
        </is>
      </c>
      <c r="D424" t="inlineStr">
        <is>
          <t>8,13,26,14</t>
        </is>
      </c>
    </row>
    <row r="425">
      <c r="C425" t="inlineStr">
        <is>
          <t>14. Strength||10. Force</t>
        </is>
      </c>
      <c r="D425" t="inlineStr">
        <is>
          <t>10,18,3,14</t>
        </is>
      </c>
    </row>
    <row r="426">
      <c r="C426" t="inlineStr">
        <is>
          <t>14. Strength||11. Stress or pressure</t>
        </is>
      </c>
      <c r="D426" t="inlineStr">
        <is>
          <t>10,3,18,40</t>
        </is>
      </c>
    </row>
    <row r="427">
      <c r="C427" t="inlineStr">
        <is>
          <t>14. Strength||12. Shape</t>
        </is>
      </c>
      <c r="D427" t="inlineStr">
        <is>
          <t>10,30,35,40</t>
        </is>
      </c>
    </row>
    <row r="428">
      <c r="C428" t="inlineStr">
        <is>
          <t>14. Strength||13. Stability of object composition</t>
        </is>
      </c>
      <c r="D428" t="inlineStr">
        <is>
          <t>35,3,22,39</t>
        </is>
      </c>
    </row>
    <row r="429">
      <c r="C429" t="inlineStr">
        <is>
          <t>14. Strength||14. Strength</t>
        </is>
      </c>
      <c r="D429" t="inlineStr">
        <is>
          <t>—</t>
        </is>
      </c>
    </row>
    <row r="430">
      <c r="C430" t="inlineStr">
        <is>
          <t>14. Strength||15. Duration of action - moving</t>
        </is>
      </c>
      <c r="D430" t="inlineStr">
        <is>
          <t>9,18,3,40</t>
        </is>
      </c>
    </row>
    <row r="431">
      <c r="C431" t="inlineStr">
        <is>
          <t>14. Strength||18. Illumination intensity</t>
        </is>
      </c>
      <c r="D431" t="inlineStr">
        <is>
          <t>3,27,16</t>
        </is>
      </c>
    </row>
    <row r="432">
      <c r="C432" t="inlineStr">
        <is>
          <t>14. Strength||19. Use of energy by moving object</t>
        </is>
      </c>
      <c r="D432" t="inlineStr">
        <is>
          <t>3,27,16</t>
        </is>
      </c>
    </row>
    <row r="433">
      <c r="C433" t="inlineStr">
        <is>
          <t>14. Strength||22. Loss of energy</t>
        </is>
      </c>
      <c r="D433" t="inlineStr">
        <is>
          <t>29,3,28,35</t>
        </is>
      </c>
    </row>
    <row r="434">
      <c r="C434" t="inlineStr">
        <is>
          <t>14. Strength||23. Loss of substance</t>
        </is>
      </c>
      <c r="D434" t="inlineStr">
        <is>
          <t>10,35,14</t>
        </is>
      </c>
    </row>
    <row r="435">
      <c r="C435" t="inlineStr">
        <is>
          <t>14. Strength||24. Loss of information</t>
        </is>
      </c>
      <c r="D435" t="inlineStr">
        <is>
          <t>10,14,35</t>
        </is>
      </c>
    </row>
    <row r="436">
      <c r="C436" t="inlineStr">
        <is>
          <t>14. Strength||25. Loss of time</t>
        </is>
      </c>
      <c r="D436" t="inlineStr">
        <is>
          <t>10,28,24</t>
        </is>
      </c>
    </row>
    <row r="437">
      <c r="C437" t="inlineStr">
        <is>
          <t>14. Strength||26. Amount of substance</t>
        </is>
      </c>
      <c r="D437" t="inlineStr">
        <is>
          <t>3,35,13</t>
        </is>
      </c>
    </row>
    <row r="438">
      <c r="C438" t="inlineStr">
        <is>
          <t>14. Strength||27. Reliability</t>
        </is>
      </c>
      <c r="D438" t="inlineStr">
        <is>
          <t>27,3,26</t>
        </is>
      </c>
    </row>
    <row r="439">
      <c r="C439" t="inlineStr">
        <is>
          <t>14. Strength||28. Measurement accuracy</t>
        </is>
      </c>
      <c r="D439" t="inlineStr">
        <is>
          <t>28,32,13</t>
        </is>
      </c>
    </row>
    <row r="440">
      <c r="C440" t="inlineStr">
        <is>
          <t>14. Strength||29. Manufacturing precision</t>
        </is>
      </c>
      <c r="D440" t="inlineStr">
        <is>
          <t>10,28,29,37</t>
        </is>
      </c>
    </row>
    <row r="441">
      <c r="C441" t="inlineStr">
        <is>
          <t>14. Strength||30. Object-generated harmful effects</t>
        </is>
      </c>
      <c r="D441" t="inlineStr">
        <is>
          <t>1,35,40,18</t>
        </is>
      </c>
    </row>
    <row r="442">
      <c r="C442" t="inlineStr">
        <is>
          <t>14. Strength||31. Harmful side effects</t>
        </is>
      </c>
      <c r="D442" t="inlineStr">
        <is>
          <t>28,3,27,35</t>
        </is>
      </c>
    </row>
    <row r="443">
      <c r="C443" t="inlineStr">
        <is>
          <t>14. Strength||32. Ease of manufacture</t>
        </is>
      </c>
      <c r="D443" t="inlineStr">
        <is>
          <t>1,35,13</t>
        </is>
      </c>
    </row>
    <row r="444">
      <c r="C444" t="inlineStr">
        <is>
          <t>14. Strength||33. Ease of operation</t>
        </is>
      </c>
      <c r="D444" t="inlineStr">
        <is>
          <t>15,34,33</t>
        </is>
      </c>
    </row>
    <row r="445">
      <c r="C445" t="inlineStr">
        <is>
          <t>14. Strength||34. Ease of repair</t>
        </is>
      </c>
      <c r="D445" t="inlineStr">
        <is>
          <t>32,35,28,34</t>
        </is>
      </c>
    </row>
    <row r="446">
      <c r="C446" t="inlineStr">
        <is>
          <t>14. Strength||35. Adaptability or versatility</t>
        </is>
      </c>
      <c r="D446" t="inlineStr">
        <is>
          <t>32,40,28,2</t>
        </is>
      </c>
    </row>
    <row r="447">
      <c r="C447" t="inlineStr">
        <is>
          <t>14. Strength||36. Device complexity</t>
        </is>
      </c>
      <c r="D447" t="inlineStr">
        <is>
          <t>27,11,3</t>
        </is>
      </c>
    </row>
    <row r="448">
      <c r="C448" t="inlineStr">
        <is>
          <t>14. Strength||37. Difficulty of detecting and measuring</t>
        </is>
      </c>
      <c r="D448" t="inlineStr">
        <is>
          <t>28,32,13</t>
        </is>
      </c>
    </row>
    <row r="449">
      <c r="C449" t="inlineStr">
        <is>
          <t>14. Strength||38. Extent of automation</t>
        </is>
      </c>
      <c r="D449" t="inlineStr">
        <is>
          <t>28,35,3</t>
        </is>
      </c>
    </row>
    <row r="450">
      <c r="C450" t="inlineStr">
        <is>
          <t>14. Strength||39. Productivity</t>
        </is>
      </c>
      <c r="D450" t="inlineStr">
        <is>
          <t>1,28,10</t>
        </is>
      </c>
    </row>
    <row r="451">
      <c r="C451" t="inlineStr">
        <is>
          <t>15. Duration of action - moving||1. Weight of moving object</t>
        </is>
      </c>
      <c r="D451" t="inlineStr">
        <is>
          <t>19,5,34,31</t>
        </is>
      </c>
    </row>
    <row r="452">
      <c r="C452" t="inlineStr">
        <is>
          <t>15. Duration of action - moving||3. Length of moving object</t>
        </is>
      </c>
      <c r="D452" t="inlineStr">
        <is>
          <t>2,19,9</t>
        </is>
      </c>
    </row>
    <row r="453">
      <c r="C453" t="inlineStr">
        <is>
          <t>15. Duration of action - moving||5. Area of moving object</t>
        </is>
      </c>
      <c r="D453" t="inlineStr">
        <is>
          <t>3,17,19</t>
        </is>
      </c>
    </row>
    <row r="454">
      <c r="C454" t="inlineStr">
        <is>
          <t>15. Duration of action - moving||7. Volume of moving object</t>
        </is>
      </c>
      <c r="D454" t="inlineStr">
        <is>
          <t>19,10,35,38</t>
        </is>
      </c>
    </row>
    <row r="455">
      <c r="C455" t="inlineStr">
        <is>
          <t>15. Duration of action - moving||9. Speed</t>
        </is>
      </c>
      <c r="D455" t="inlineStr">
        <is>
          <t>28,33,18,4</t>
        </is>
      </c>
    </row>
    <row r="456">
      <c r="C456" t="inlineStr">
        <is>
          <t>15. Duration of action - moving||10. Force</t>
        </is>
      </c>
      <c r="D456" t="inlineStr">
        <is>
          <t>3,35,5</t>
        </is>
      </c>
    </row>
    <row r="457">
      <c r="C457" t="inlineStr">
        <is>
          <t>15. Duration of action - moving||11. Stress or pressure</t>
        </is>
      </c>
      <c r="D457" t="inlineStr">
        <is>
          <t>10,3,18,40</t>
        </is>
      </c>
    </row>
    <row r="458">
      <c r="C458" t="inlineStr">
        <is>
          <t>15. Duration of action - moving||12. Shape</t>
        </is>
      </c>
      <c r="D458" t="inlineStr">
        <is>
          <t>19,35,10</t>
        </is>
      </c>
    </row>
    <row r="459">
      <c r="C459" t="inlineStr">
        <is>
          <t>15. Duration of action - moving||13. Stability of object composition</t>
        </is>
      </c>
      <c r="D459" t="inlineStr">
        <is>
          <t>16,34,31,28</t>
        </is>
      </c>
    </row>
    <row r="460">
      <c r="C460" t="inlineStr">
        <is>
          <t>15. Duration of action - moving||14. Strength</t>
        </is>
      </c>
      <c r="D460" t="inlineStr">
        <is>
          <t>10,37,14</t>
        </is>
      </c>
    </row>
    <row r="461">
      <c r="C461" t="inlineStr">
        <is>
          <t>15. Duration of action - moving||15. Duration of action - moving</t>
        </is>
      </c>
      <c r="D461" t="inlineStr">
        <is>
          <t>—</t>
        </is>
      </c>
    </row>
    <row r="462">
      <c r="C462" t="inlineStr">
        <is>
          <t>15. Duration of action - moving||16. Duration of action - stationary</t>
        </is>
      </c>
      <c r="D462" t="inlineStr">
        <is>
          <t>3,35,13,21</t>
        </is>
      </c>
    </row>
    <row r="463">
      <c r="C463" t="inlineStr">
        <is>
          <t>15. Duration of action - moving||17. Temperature</t>
        </is>
      </c>
      <c r="D463" t="inlineStr">
        <is>
          <t>19,35,10,38</t>
        </is>
      </c>
    </row>
    <row r="464">
      <c r="C464" t="inlineStr">
        <is>
          <t>15. Duration of action - moving||18. Illumination intensity</t>
        </is>
      </c>
      <c r="D464" t="inlineStr">
        <is>
          <t>2,19,13</t>
        </is>
      </c>
    </row>
    <row r="465">
      <c r="C465" t="inlineStr">
        <is>
          <t>15. Duration of action - moving||19. Use of energy by moving object</t>
        </is>
      </c>
      <c r="D465" t="inlineStr">
        <is>
          <t>28,6,35,18</t>
        </is>
      </c>
    </row>
    <row r="466">
      <c r="C466" t="inlineStr">
        <is>
          <t>15. Duration of action - moving||21. Power</t>
        </is>
      </c>
      <c r="D466" t="inlineStr">
        <is>
          <t>8,35</t>
        </is>
      </c>
    </row>
    <row r="467">
      <c r="C467" t="inlineStr">
        <is>
          <t>15. Duration of action - moving||22. Loss of energy</t>
        </is>
      </c>
      <c r="D467" t="inlineStr">
        <is>
          <t>35,11,22,31</t>
        </is>
      </c>
    </row>
    <row r="468">
      <c r="C468" t="inlineStr">
        <is>
          <t>15. Duration of action - moving||23. Loss of substance</t>
        </is>
      </c>
      <c r="D468" t="inlineStr">
        <is>
          <t>3,18,34,31</t>
        </is>
      </c>
    </row>
    <row r="469">
      <c r="C469" t="inlineStr">
        <is>
          <t>15. Duration of action - moving||24. Loss of information</t>
        </is>
      </c>
      <c r="D469" t="inlineStr">
        <is>
          <t>22,10,1,35</t>
        </is>
      </c>
    </row>
    <row r="470">
      <c r="C470" t="inlineStr">
        <is>
          <t>15. Duration of action - moving||25. Loss of time</t>
        </is>
      </c>
      <c r="D470" t="inlineStr">
        <is>
          <t>10,30,4</t>
        </is>
      </c>
    </row>
    <row r="471">
      <c r="C471" t="inlineStr">
        <is>
          <t>15. Duration of action - moving||26. Amount of substance</t>
        </is>
      </c>
      <c r="D471" t="inlineStr">
        <is>
          <t>17,9,15</t>
        </is>
      </c>
    </row>
    <row r="472">
      <c r="C472" t="inlineStr">
        <is>
          <t>15. Duration of action - moving||27. Reliability</t>
        </is>
      </c>
      <c r="D472" t="inlineStr">
        <is>
          <t>35,10,3</t>
        </is>
      </c>
    </row>
    <row r="473">
      <c r="C473" t="inlineStr">
        <is>
          <t>15. Duration of action - moving||28. Measurement accuracy</t>
        </is>
      </c>
      <c r="D473" t="inlineStr">
        <is>
          <t>3,27,16</t>
        </is>
      </c>
    </row>
    <row r="474">
      <c r="C474" t="inlineStr">
        <is>
          <t>15. Duration of action - moving||29. Manufacturing precision</t>
        </is>
      </c>
      <c r="D474" t="inlineStr">
        <is>
          <t>3,27,16,40</t>
        </is>
      </c>
    </row>
    <row r="475">
      <c r="C475" t="inlineStr">
        <is>
          <t>15. Duration of action - moving||30. Object-generated harmful effects</t>
        </is>
      </c>
      <c r="D475" t="inlineStr">
        <is>
          <t>35,3,15,19</t>
        </is>
      </c>
    </row>
    <row r="476">
      <c r="C476" t="inlineStr">
        <is>
          <t>15. Duration of action - moving||31. Harmful side effects</t>
        </is>
      </c>
      <c r="D476" t="inlineStr">
        <is>
          <t>3,27,35,16</t>
        </is>
      </c>
    </row>
    <row r="477">
      <c r="C477" t="inlineStr">
        <is>
          <t>15. Duration of action - moving||32. Ease of manufacture</t>
        </is>
      </c>
      <c r="D477" t="inlineStr">
        <is>
          <t>3,27,35,16</t>
        </is>
      </c>
    </row>
    <row r="478">
      <c r="C478" t="inlineStr">
        <is>
          <t>15. Duration of action - moving||33. Ease of operation</t>
        </is>
      </c>
      <c r="D478" t="inlineStr">
        <is>
          <t>21,3,35,13</t>
        </is>
      </c>
    </row>
    <row r="479">
      <c r="C479" t="inlineStr">
        <is>
          <t>15. Duration of action - moving||34. Ease of repair</t>
        </is>
      </c>
      <c r="D479" t="inlineStr">
        <is>
          <t>35,10,28,3</t>
        </is>
      </c>
    </row>
    <row r="480">
      <c r="C480" t="inlineStr">
        <is>
          <t>15. Duration of action - moving||35. Adaptability or versatility</t>
        </is>
      </c>
      <c r="D480" t="inlineStr">
        <is>
          <t>3,35,10,40</t>
        </is>
      </c>
    </row>
    <row r="481">
      <c r="C481" t="inlineStr">
        <is>
          <t>15. Duration of action - moving||36. Device complexity</t>
        </is>
      </c>
      <c r="D481" t="inlineStr">
        <is>
          <t>22,2,37</t>
        </is>
      </c>
    </row>
    <row r="482">
      <c r="C482" t="inlineStr">
        <is>
          <t>15. Duration of action - moving||37. Difficulty of detecting and measuring</t>
        </is>
      </c>
      <c r="D482" t="inlineStr">
        <is>
          <t>22,3,34</t>
        </is>
      </c>
    </row>
    <row r="483">
      <c r="C483" t="inlineStr">
        <is>
          <t>15. Duration of action - moving||38. Extent of automation</t>
        </is>
      </c>
      <c r="D483" t="inlineStr">
        <is>
          <t>29,3,28,18</t>
        </is>
      </c>
    </row>
    <row r="484">
      <c r="C484" t="inlineStr">
        <is>
          <t>15. Duration of action - moving||39. Productivity</t>
        </is>
      </c>
      <c r="D484" t="inlineStr">
        <is>
          <t>35,10,2,18</t>
        </is>
      </c>
    </row>
    <row r="485">
      <c r="C485" t="inlineStr">
        <is>
          <t>16. Duration of action - stationary||2. Weight of stationary object</t>
        </is>
      </c>
      <c r="D485" t="inlineStr">
        <is>
          <t>35,10,21</t>
        </is>
      </c>
    </row>
    <row r="486">
      <c r="C486" t="inlineStr">
        <is>
          <t>16. Duration of action - stationary||4. Length of stationary object</t>
        </is>
      </c>
      <c r="D486" t="inlineStr">
        <is>
          <t>35,10,21</t>
        </is>
      </c>
    </row>
    <row r="487">
      <c r="C487" t="inlineStr">
        <is>
          <t>16. Duration of action - stationary||6. Area of stationary object</t>
        </is>
      </c>
      <c r="D487" t="inlineStr">
        <is>
          <t>35,10,21</t>
        </is>
      </c>
    </row>
    <row r="488">
      <c r="C488" t="inlineStr">
        <is>
          <t>16. Duration of action - stationary||8. Volume of stationary object</t>
        </is>
      </c>
      <c r="D488" t="inlineStr">
        <is>
          <t>35,10,21</t>
        </is>
      </c>
    </row>
    <row r="489">
      <c r="C489" t="inlineStr">
        <is>
          <t>16. Duration of action - stationary||16. Duration of action - stationary</t>
        </is>
      </c>
      <c r="D489" t="inlineStr">
        <is>
          <t>—</t>
        </is>
      </c>
    </row>
    <row r="490">
      <c r="C490" t="inlineStr">
        <is>
          <t>16. Duration of action - stationary||17. Temperature</t>
        </is>
      </c>
      <c r="D490" t="inlineStr">
        <is>
          <t>19,1,35</t>
        </is>
      </c>
    </row>
    <row r="491">
      <c r="C491" t="inlineStr">
        <is>
          <t>16. Duration of action - stationary||19. Use of energy by moving object</t>
        </is>
      </c>
      <c r="D491" t="inlineStr">
        <is>
          <t>19,2,35,32</t>
        </is>
      </c>
    </row>
    <row r="492">
      <c r="C492" t="inlineStr">
        <is>
          <t>16. Duration of action - stationary||23. Loss of substance</t>
        </is>
      </c>
      <c r="D492" t="inlineStr">
        <is>
          <t>1,6,33</t>
        </is>
      </c>
    </row>
    <row r="493">
      <c r="C493" t="inlineStr">
        <is>
          <t>16. Duration of action - stationary||24. Loss of information</t>
        </is>
      </c>
      <c r="D493" t="inlineStr">
        <is>
          <t>19,28,26,35</t>
        </is>
      </c>
    </row>
    <row r="494">
      <c r="C494" t="inlineStr">
        <is>
          <t>16. Duration of action - stationary||25. Loss of time</t>
        </is>
      </c>
      <c r="D494" t="inlineStr">
        <is>
          <t>35,28</t>
        </is>
      </c>
    </row>
    <row r="495">
      <c r="C495" t="inlineStr">
        <is>
          <t>16. Duration of action - stationary||27. Reliability</t>
        </is>
      </c>
      <c r="D495" t="inlineStr">
        <is>
          <t>1,35,6,10</t>
        </is>
      </c>
    </row>
    <row r="496">
      <c r="C496" t="inlineStr">
        <is>
          <t>16. Duration of action - stationary||28. Measurement accuracy</t>
        </is>
      </c>
      <c r="D496" t="inlineStr">
        <is>
          <t>28,10,2,35</t>
        </is>
      </c>
    </row>
    <row r="497">
      <c r="C497" t="inlineStr">
        <is>
          <t>16. Duration of action - stationary||29. Manufacturing precision</t>
        </is>
      </c>
      <c r="D497" t="inlineStr">
        <is>
          <t>3,35,10</t>
        </is>
      </c>
    </row>
    <row r="498">
      <c r="C498" t="inlineStr">
        <is>
          <t>16. Duration of action - stationary||30. Object-generated harmful effects</t>
        </is>
      </c>
      <c r="D498" t="inlineStr">
        <is>
          <t>28,10,29,35</t>
        </is>
      </c>
    </row>
    <row r="499">
      <c r="C499" t="inlineStr">
        <is>
          <t>16. Duration of action - stationary||31. Harmful side effects</t>
        </is>
      </c>
      <c r="D499" t="inlineStr">
        <is>
          <t>28,10,35</t>
        </is>
      </c>
    </row>
    <row r="500">
      <c r="C500" t="inlineStr">
        <is>
          <t>16. Duration of action - stationary||32. Ease of manufacture</t>
        </is>
      </c>
      <c r="D500" t="inlineStr">
        <is>
          <t>28,10,35,23</t>
        </is>
      </c>
    </row>
    <row r="501">
      <c r="C501" t="inlineStr">
        <is>
          <t>16. Duration of action - stationary||33. Ease of operation</t>
        </is>
      </c>
      <c r="D501" t="inlineStr">
        <is>
          <t>28,10,29,35</t>
        </is>
      </c>
    </row>
    <row r="502">
      <c r="C502" t="inlineStr">
        <is>
          <t>16. Duration of action - stationary||34. Ease of repair</t>
        </is>
      </c>
      <c r="D502" t="inlineStr">
        <is>
          <t>1,28,10</t>
        </is>
      </c>
    </row>
    <row r="503">
      <c r="C503" t="inlineStr">
        <is>
          <t>16. Duration of action - stationary||35. Adaptability or versatility</t>
        </is>
      </c>
      <c r="D503" t="inlineStr">
        <is>
          <t>1,35,13</t>
        </is>
      </c>
    </row>
    <row r="504">
      <c r="C504" t="inlineStr">
        <is>
          <t>16. Duration of action - stationary||36. Device complexity</t>
        </is>
      </c>
      <c r="D504" t="inlineStr">
        <is>
          <t>1,35,29</t>
        </is>
      </c>
    </row>
    <row r="505">
      <c r="C505" t="inlineStr">
        <is>
          <t>16. Duration of action - stationary||38. Extent of automation</t>
        </is>
      </c>
      <c r="D505" t="inlineStr">
        <is>
          <t>2,25</t>
        </is>
      </c>
    </row>
    <row r="506">
      <c r="C506" t="inlineStr">
        <is>
          <t>16. Duration of action - stationary||39. Productivity</t>
        </is>
      </c>
      <c r="D506" t="inlineStr">
        <is>
          <t>12,35,26,18</t>
        </is>
      </c>
    </row>
    <row r="507">
      <c r="C507" t="inlineStr">
        <is>
          <t>17. Temperature||1. Weight of moving object</t>
        </is>
      </c>
      <c r="D507" t="inlineStr">
        <is>
          <t>36,22,6,38</t>
        </is>
      </c>
    </row>
    <row r="508">
      <c r="C508" t="inlineStr">
        <is>
          <t>17. Temperature||3. Length of moving object</t>
        </is>
      </c>
      <c r="D508" t="inlineStr">
        <is>
          <t>22,35,32</t>
        </is>
      </c>
    </row>
    <row r="509">
      <c r="C509" t="inlineStr">
        <is>
          <t>17. Temperature||5. Area of moving object</t>
        </is>
      </c>
      <c r="D509" t="inlineStr">
        <is>
          <t>22,1,18</t>
        </is>
      </c>
    </row>
    <row r="510">
      <c r="C510" t="inlineStr">
        <is>
          <t>17. Temperature||7. Volume of moving object</t>
        </is>
      </c>
      <c r="D510" t="inlineStr">
        <is>
          <t>22,35,2,24</t>
        </is>
      </c>
    </row>
    <row r="511">
      <c r="C511" t="inlineStr">
        <is>
          <t>17. Temperature||9. Speed</t>
        </is>
      </c>
      <c r="D511" t="inlineStr">
        <is>
          <t>35,28,21,18</t>
        </is>
      </c>
    </row>
    <row r="512">
      <c r="C512" t="inlineStr">
        <is>
          <t>17. Temperature||10. Force</t>
        </is>
      </c>
      <c r="D512" t="inlineStr">
        <is>
          <t>35,28,21,18</t>
        </is>
      </c>
    </row>
    <row r="513">
      <c r="C513" t="inlineStr">
        <is>
          <t>17. Temperature||11. Stress or pressure</t>
        </is>
      </c>
      <c r="D513" t="inlineStr">
        <is>
          <t>1,28,15,35</t>
        </is>
      </c>
    </row>
    <row r="514">
      <c r="C514" t="inlineStr">
        <is>
          <t>17. Temperature||12. Shape</t>
        </is>
      </c>
      <c r="D514" t="inlineStr">
        <is>
          <t>15,22,33,31</t>
        </is>
      </c>
    </row>
    <row r="515">
      <c r="C515" t="inlineStr">
        <is>
          <t>17. Temperature||13. Stability of object composition</t>
        </is>
      </c>
      <c r="D515" t="inlineStr">
        <is>
          <t>15,19,9</t>
        </is>
      </c>
    </row>
    <row r="516">
      <c r="C516" t="inlineStr">
        <is>
          <t>17. Temperature||14. Strength</t>
        </is>
      </c>
      <c r="D516" t="inlineStr">
        <is>
          <t>3,35,38,18</t>
        </is>
      </c>
    </row>
    <row r="517">
      <c r="C517" t="inlineStr">
        <is>
          <t>17. Temperature||15. Duration of action - moving</t>
        </is>
      </c>
      <c r="D517" t="inlineStr">
        <is>
          <t>3,35,22,5</t>
        </is>
      </c>
    </row>
    <row r="518">
      <c r="C518" t="inlineStr">
        <is>
          <t>17. Temperature||17. Temperature</t>
        </is>
      </c>
      <c r="D518" t="inlineStr">
        <is>
          <t>—</t>
        </is>
      </c>
    </row>
    <row r="519">
      <c r="C519" t="inlineStr">
        <is>
          <t>17. Temperature||18. Illumination intensity</t>
        </is>
      </c>
      <c r="D519" t="inlineStr">
        <is>
          <t>22,15,33,28</t>
        </is>
      </c>
    </row>
    <row r="520">
      <c r="C520" t="inlineStr">
        <is>
          <t>17. Temperature||19. Use of energy by moving object</t>
        </is>
      </c>
      <c r="D520" t="inlineStr">
        <is>
          <t>1,35,32</t>
        </is>
      </c>
    </row>
    <row r="521">
      <c r="C521" t="inlineStr">
        <is>
          <t>17. Temperature||20. Use of energy by stationary object</t>
        </is>
      </c>
      <c r="D521" t="inlineStr">
        <is>
          <t>19,32,16</t>
        </is>
      </c>
    </row>
    <row r="522">
      <c r="C522" t="inlineStr">
        <is>
          <t>17. Temperature||21. Power</t>
        </is>
      </c>
      <c r="D522" t="inlineStr">
        <is>
          <t>2,14,17,25</t>
        </is>
      </c>
    </row>
    <row r="523">
      <c r="C523" t="inlineStr">
        <is>
          <t>17. Temperature||22. Loss of energy</t>
        </is>
      </c>
      <c r="D523" t="inlineStr">
        <is>
          <t>21,17,35,38</t>
        </is>
      </c>
    </row>
    <row r="524">
      <c r="C524" t="inlineStr">
        <is>
          <t>17. Temperature||23. Loss of substance</t>
        </is>
      </c>
      <c r="D524" t="inlineStr">
        <is>
          <t>21,36,29,31</t>
        </is>
      </c>
    </row>
    <row r="525">
      <c r="C525" t="inlineStr">
        <is>
          <t>17. Temperature||24. Loss of information</t>
        </is>
      </c>
      <c r="D525" t="inlineStr">
        <is>
          <t>26,27</t>
        </is>
      </c>
    </row>
    <row r="526">
      <c r="C526" t="inlineStr">
        <is>
          <t>17. Temperature||25. Loss of time</t>
        </is>
      </c>
      <c r="D526" t="inlineStr">
        <is>
          <t>2,5,35</t>
        </is>
      </c>
    </row>
    <row r="527">
      <c r="C527" t="inlineStr">
        <is>
          <t>17. Temperature||26. Amount of substance</t>
        </is>
      </c>
      <c r="D527" t="inlineStr">
        <is>
          <t>28,24,22,26</t>
        </is>
      </c>
    </row>
    <row r="528">
      <c r="C528" t="inlineStr">
        <is>
          <t>17. Temperature||27. Reliability</t>
        </is>
      </c>
      <c r="D528" t="inlineStr">
        <is>
          <t>35,13,8,1</t>
        </is>
      </c>
    </row>
    <row r="529">
      <c r="C529" t="inlineStr">
        <is>
          <t>17. Temperature||28. Measurement accuracy</t>
        </is>
      </c>
      <c r="D529" t="inlineStr">
        <is>
          <t>35,32,1</t>
        </is>
      </c>
    </row>
    <row r="530">
      <c r="C530" t="inlineStr">
        <is>
          <t>17. Temperature||29. Manufacturing precision</t>
        </is>
      </c>
      <c r="D530" t="inlineStr">
        <is>
          <t>28,32,1,24</t>
        </is>
      </c>
    </row>
    <row r="531">
      <c r="C531" t="inlineStr">
        <is>
          <t>17. Temperature||30. Object-generated harmful effects</t>
        </is>
      </c>
      <c r="D531" t="inlineStr">
        <is>
          <t>22,21,18,27</t>
        </is>
      </c>
    </row>
    <row r="532">
      <c r="C532" t="inlineStr">
        <is>
          <t>17. Temperature||31. Harmful side effects</t>
        </is>
      </c>
      <c r="D532" t="inlineStr">
        <is>
          <t>22,35,31,2</t>
        </is>
      </c>
    </row>
    <row r="533">
      <c r="C533" t="inlineStr">
        <is>
          <t>17. Temperature||32. Ease of manufacture</t>
        </is>
      </c>
      <c r="D533" t="inlineStr">
        <is>
          <t>27,2,39,35</t>
        </is>
      </c>
    </row>
    <row r="534">
      <c r="C534" t="inlineStr">
        <is>
          <t>17. Temperature||33. Ease of operation</t>
        </is>
      </c>
      <c r="D534" t="inlineStr">
        <is>
          <t>28,27,2,31</t>
        </is>
      </c>
    </row>
    <row r="535">
      <c r="C535" t="inlineStr">
        <is>
          <t>17. Temperature||34. Ease of repair</t>
        </is>
      </c>
      <c r="D535" t="inlineStr">
        <is>
          <t>35,19</t>
        </is>
      </c>
    </row>
    <row r="536">
      <c r="C536" t="inlineStr">
        <is>
          <t>17. Temperature||35. Adaptability or versatility</t>
        </is>
      </c>
      <c r="D536" t="inlineStr">
        <is>
          <t>1,6,15</t>
        </is>
      </c>
    </row>
    <row r="537">
      <c r="C537" t="inlineStr">
        <is>
          <t>17. Temperature||36. Device complexity</t>
        </is>
      </c>
      <c r="D537" t="inlineStr">
        <is>
          <t>28,17,15,16</t>
        </is>
      </c>
    </row>
    <row r="538">
      <c r="C538" t="inlineStr">
        <is>
          <t>17. Temperature||37. Difficulty of detecting and measuring</t>
        </is>
      </c>
      <c r="D538" t="inlineStr">
        <is>
          <t>26,27,13</t>
        </is>
      </c>
    </row>
    <row r="539">
      <c r="C539" t="inlineStr">
        <is>
          <t>17. Temperature||38. Extent of automation</t>
        </is>
      </c>
      <c r="D539" t="inlineStr">
        <is>
          <t>2,24,26</t>
        </is>
      </c>
    </row>
    <row r="540">
      <c r="C540" t="inlineStr">
        <is>
          <t>17. Temperature||39. Productivity</t>
        </is>
      </c>
      <c r="D540" t="inlineStr">
        <is>
          <t>35,38</t>
        </is>
      </c>
    </row>
    <row r="541">
      <c r="C541" t="inlineStr">
        <is>
          <t>18. Illumination intensity||3. Length of moving object</t>
        </is>
      </c>
      <c r="D541" t="inlineStr">
        <is>
          <t>32,13</t>
        </is>
      </c>
    </row>
    <row r="542">
      <c r="C542" t="inlineStr">
        <is>
          <t>18. Illumination intensity||4. Length of stationary object</t>
        </is>
      </c>
      <c r="D542" t="inlineStr">
        <is>
          <t>32,26</t>
        </is>
      </c>
    </row>
    <row r="543">
      <c r="C543" t="inlineStr">
        <is>
          <t>18. Illumination intensity||5. Area of moving object</t>
        </is>
      </c>
      <c r="D543" t="inlineStr">
        <is>
          <t>32,30</t>
        </is>
      </c>
    </row>
    <row r="544">
      <c r="C544" t="inlineStr">
        <is>
          <t>18. Illumination intensity||7. Volume of moving object</t>
        </is>
      </c>
      <c r="D544" t="inlineStr">
        <is>
          <t>13,16,1,6</t>
        </is>
      </c>
    </row>
    <row r="545">
      <c r="C545" t="inlineStr">
        <is>
          <t>18. Illumination intensity||10. Force</t>
        </is>
      </c>
      <c r="D545" t="inlineStr">
        <is>
          <t>1</t>
        </is>
      </c>
    </row>
    <row r="546">
      <c r="C546" t="inlineStr">
        <is>
          <t>18. Illumination intensity||12. Shape</t>
        </is>
      </c>
      <c r="D546" t="inlineStr">
        <is>
          <t>2,32</t>
        </is>
      </c>
    </row>
    <row r="547">
      <c r="C547" t="inlineStr">
        <is>
          <t>18. Illumination intensity||13. Stability of object composition</t>
        </is>
      </c>
      <c r="D547" t="inlineStr">
        <is>
          <t>32,35,19</t>
        </is>
      </c>
    </row>
    <row r="548">
      <c r="C548" t="inlineStr">
        <is>
          <t>18. Illumination intensity||14. Strength</t>
        </is>
      </c>
      <c r="D548" t="inlineStr">
        <is>
          <t>3,27,16</t>
        </is>
      </c>
    </row>
    <row r="549">
      <c r="C549" t="inlineStr">
        <is>
          <t>18. Illumination intensity||15. Duration of action - moving</t>
        </is>
      </c>
      <c r="D549" t="inlineStr">
        <is>
          <t>2,13,19</t>
        </is>
      </c>
    </row>
    <row r="550">
      <c r="C550" t="inlineStr">
        <is>
          <t>18. Illumination intensity||17. Temperature</t>
        </is>
      </c>
      <c r="D550" t="inlineStr">
        <is>
          <t>22,15,33,28</t>
        </is>
      </c>
    </row>
    <row r="551">
      <c r="C551" t="inlineStr">
        <is>
          <t>18. Illumination intensity||18. Illumination intensity</t>
        </is>
      </c>
      <c r="D551" t="inlineStr">
        <is>
          <t>—</t>
        </is>
      </c>
    </row>
    <row r="552">
      <c r="C552" t="inlineStr">
        <is>
          <t>18. Illumination intensity||19. Use of energy by moving object</t>
        </is>
      </c>
      <c r="D552" t="inlineStr">
        <is>
          <t>8,35,40,25</t>
        </is>
      </c>
    </row>
    <row r="553">
      <c r="C553" t="inlineStr">
        <is>
          <t>18. Illumination intensity||21. Power</t>
        </is>
      </c>
      <c r="D553" t="inlineStr">
        <is>
          <t>35,28,34,4</t>
        </is>
      </c>
    </row>
    <row r="554">
      <c r="C554" t="inlineStr">
        <is>
          <t>18. Illumination intensity||22. Loss of energy</t>
        </is>
      </c>
      <c r="D554" t="inlineStr">
        <is>
          <t>10,28,38</t>
        </is>
      </c>
    </row>
    <row r="555">
      <c r="C555" t="inlineStr">
        <is>
          <t>18. Illumination intensity||23. Loss of substance</t>
        </is>
      </c>
      <c r="D555" t="inlineStr">
        <is>
          <t>28,10,20</t>
        </is>
      </c>
    </row>
    <row r="556">
      <c r="C556" t="inlineStr">
        <is>
          <t>18. Illumination intensity||24. Loss of information</t>
        </is>
      </c>
      <c r="D556" t="inlineStr">
        <is>
          <t>35,13</t>
        </is>
      </c>
    </row>
    <row r="557">
      <c r="C557" t="inlineStr">
        <is>
          <t>18. Illumination intensity||25. Loss of time</t>
        </is>
      </c>
      <c r="D557" t="inlineStr">
        <is>
          <t>6,13,28,1</t>
        </is>
      </c>
    </row>
    <row r="558">
      <c r="C558" t="inlineStr">
        <is>
          <t>18. Illumination intensity||26. Amount of substance</t>
        </is>
      </c>
      <c r="D558" t="inlineStr">
        <is>
          <t>32,15,26</t>
        </is>
      </c>
    </row>
    <row r="559">
      <c r="C559" t="inlineStr">
        <is>
          <t>18. Illumination intensity||27. Reliability</t>
        </is>
      </c>
      <c r="D559" t="inlineStr">
        <is>
          <t>32,28,26</t>
        </is>
      </c>
    </row>
    <row r="560">
      <c r="C560" t="inlineStr">
        <is>
          <t>18. Illumination intensity||28. Measurement accuracy</t>
        </is>
      </c>
      <c r="D560" t="inlineStr">
        <is>
          <t>32,35,10</t>
        </is>
      </c>
    </row>
    <row r="561">
      <c r="C561" t="inlineStr">
        <is>
          <t>18. Illumination intensity||29. Manufacturing precision</t>
        </is>
      </c>
      <c r="D561" t="inlineStr">
        <is>
          <t>28,35,10,23</t>
        </is>
      </c>
    </row>
    <row r="562">
      <c r="C562" t="inlineStr">
        <is>
          <t>18. Illumination intensity||30. Object-generated harmful effects</t>
        </is>
      </c>
      <c r="D562" t="inlineStr">
        <is>
          <t>35,10,3,21</t>
        </is>
      </c>
    </row>
    <row r="563">
      <c r="C563" t="inlineStr">
        <is>
          <t>18. Illumination intensity||31. Harmful side effects</t>
        </is>
      </c>
      <c r="D563" t="inlineStr">
        <is>
          <t>10,3,18,40</t>
        </is>
      </c>
    </row>
    <row r="564">
      <c r="C564" t="inlineStr">
        <is>
          <t>18. Illumination intensity||32. Ease of manufacture</t>
        </is>
      </c>
      <c r="D564" t="inlineStr">
        <is>
          <t>22,35,28,10</t>
        </is>
      </c>
    </row>
    <row r="565">
      <c r="C565" t="inlineStr">
        <is>
          <t>18. Illumination intensity||33. Ease of operation</t>
        </is>
      </c>
      <c r="D565" t="inlineStr">
        <is>
          <t>35,13,22,18</t>
        </is>
      </c>
    </row>
    <row r="566">
      <c r="C566" t="inlineStr">
        <is>
          <t>18. Illumination intensity||34. Ease of repair</t>
        </is>
      </c>
      <c r="D566" t="inlineStr">
        <is>
          <t>11,32,13</t>
        </is>
      </c>
    </row>
    <row r="567">
      <c r="C567" t="inlineStr">
        <is>
          <t>18. Illumination intensity||35. Adaptability or versatility</t>
        </is>
      </c>
      <c r="D567" t="inlineStr">
        <is>
          <t>2,13,28,35</t>
        </is>
      </c>
    </row>
    <row r="568">
      <c r="C568" t="inlineStr">
        <is>
          <t>18. Illumination intensity||36. Device complexity</t>
        </is>
      </c>
      <c r="D568" t="inlineStr">
        <is>
          <t>17,32,13,38</t>
        </is>
      </c>
    </row>
    <row r="569">
      <c r="C569" t="inlineStr">
        <is>
          <t>18. Illumination intensity||37. Difficulty of detecting and measuring</t>
        </is>
      </c>
      <c r="D569" t="inlineStr">
        <is>
          <t>32,13,6</t>
        </is>
      </c>
    </row>
    <row r="570">
      <c r="C570" t="inlineStr">
        <is>
          <t>18. Illumination intensity||38. Extent of automation</t>
        </is>
      </c>
      <c r="D570" t="inlineStr">
        <is>
          <t>32,2</t>
        </is>
      </c>
    </row>
    <row r="571">
      <c r="C571" t="inlineStr">
        <is>
          <t>18. Illumination intensity||39. Productivity</t>
        </is>
      </c>
      <c r="D571" t="inlineStr">
        <is>
          <t>13,16,1,6</t>
        </is>
      </c>
    </row>
    <row r="572">
      <c r="C572" t="inlineStr">
        <is>
          <t>19. Use of energy by moving object||1. Weight of moving object</t>
        </is>
      </c>
      <c r="D572" t="inlineStr">
        <is>
          <t>12,18,28,31</t>
        </is>
      </c>
    </row>
    <row r="573">
      <c r="C573" t="inlineStr">
        <is>
          <t>19. Use of energy by moving object||3. Length of moving object</t>
        </is>
      </c>
      <c r="D573" t="inlineStr">
        <is>
          <t>19,10,32,18</t>
        </is>
      </c>
    </row>
    <row r="574">
      <c r="C574" t="inlineStr">
        <is>
          <t>19. Use of energy by moving object||5. Area of moving object</t>
        </is>
      </c>
      <c r="D574" t="inlineStr">
        <is>
          <t>12,28,35</t>
        </is>
      </c>
    </row>
    <row r="575">
      <c r="C575" t="inlineStr">
        <is>
          <t>19. Use of energy by moving object||6. Area of stationary object</t>
        </is>
      </c>
      <c r="D575" t="inlineStr">
        <is>
          <t>12,28,35</t>
        </is>
      </c>
    </row>
    <row r="576">
      <c r="C576" t="inlineStr">
        <is>
          <t>19. Use of energy by moving object||7. Volume of moving object</t>
        </is>
      </c>
      <c r="D576" t="inlineStr">
        <is>
          <t>14,2,39,6</t>
        </is>
      </c>
    </row>
    <row r="577">
      <c r="C577" t="inlineStr">
        <is>
          <t>19. Use of energy by moving object||9. Speed</t>
        </is>
      </c>
      <c r="D577" t="inlineStr">
        <is>
          <t>12,28</t>
        </is>
      </c>
    </row>
    <row r="578">
      <c r="C578" t="inlineStr">
        <is>
          <t>19. Use of energy by moving object||10. Force</t>
        </is>
      </c>
      <c r="D578" t="inlineStr">
        <is>
          <t>19,13,17,24</t>
        </is>
      </c>
    </row>
    <row r="579">
      <c r="C579" t="inlineStr">
        <is>
          <t>19. Use of energy by moving object||11. Stress or pressure</t>
        </is>
      </c>
      <c r="D579" t="inlineStr">
        <is>
          <t>19,14,20,35</t>
        </is>
      </c>
    </row>
    <row r="580">
      <c r="C580" t="inlineStr">
        <is>
          <t>19. Use of energy by moving object||12. Shape</t>
        </is>
      </c>
      <c r="D580" t="inlineStr">
        <is>
          <t>10,36,14,35</t>
        </is>
      </c>
    </row>
    <row r="581">
      <c r="C581" t="inlineStr">
        <is>
          <t>19. Use of energy by moving object||13. Stability of object composition</t>
        </is>
      </c>
      <c r="D581" t="inlineStr">
        <is>
          <t>10,36,3,14</t>
        </is>
      </c>
    </row>
    <row r="582">
      <c r="C582" t="inlineStr">
        <is>
          <t>19. Use of energy by moving object||14. Strength</t>
        </is>
      </c>
      <c r="D582" t="inlineStr">
        <is>
          <t>14,35,34,10</t>
        </is>
      </c>
    </row>
    <row r="583">
      <c r="C583" t="inlineStr">
        <is>
          <t>19. Use of energy by moving object||15. Duration of action - moving</t>
        </is>
      </c>
      <c r="D583" t="inlineStr">
        <is>
          <t>35,26,4</t>
        </is>
      </c>
    </row>
    <row r="584">
      <c r="C584" t="inlineStr">
        <is>
          <t>19. Use of energy by moving object||16. Duration of action - stationary</t>
        </is>
      </c>
      <c r="D584" t="inlineStr">
        <is>
          <t>12,28,35</t>
        </is>
      </c>
    </row>
    <row r="585">
      <c r="C585" t="inlineStr">
        <is>
          <t>19. Use of energy by moving object||17. Temperature</t>
        </is>
      </c>
      <c r="D585" t="inlineStr">
        <is>
          <t>1,35,32</t>
        </is>
      </c>
    </row>
    <row r="586">
      <c r="C586" t="inlineStr">
        <is>
          <t>19. Use of energy by moving object||18. Illumination intensity</t>
        </is>
      </c>
      <c r="D586" t="inlineStr">
        <is>
          <t>8,35,40,25</t>
        </is>
      </c>
    </row>
    <row r="587">
      <c r="C587" t="inlineStr">
        <is>
          <t>19. Use of energy by moving object||19. Use of energy by moving object</t>
        </is>
      </c>
      <c r="D587" t="inlineStr">
        <is>
          <t>—</t>
        </is>
      </c>
    </row>
    <row r="588">
      <c r="C588" t="inlineStr">
        <is>
          <t>19. Use of energy by moving object||20. Use of energy by stationary object</t>
        </is>
      </c>
      <c r="D588" t="inlineStr">
        <is>
          <t>19,2,35,32</t>
        </is>
      </c>
    </row>
    <row r="589">
      <c r="C589" t="inlineStr">
        <is>
          <t>19. Use of energy by moving object||21. Power</t>
        </is>
      </c>
      <c r="D589" t="inlineStr">
        <is>
          <t>28,26,30</t>
        </is>
      </c>
    </row>
    <row r="590">
      <c r="C590" t="inlineStr">
        <is>
          <t>19. Use of energy by moving object||22. Loss of energy</t>
        </is>
      </c>
      <c r="D590" t="inlineStr">
        <is>
          <t>19,35,10,38</t>
        </is>
      </c>
    </row>
    <row r="591">
      <c r="C591" t="inlineStr">
        <is>
          <t>19. Use of energy by moving object||23. Loss of substance</t>
        </is>
      </c>
      <c r="D591" t="inlineStr">
        <is>
          <t>35,10,38,19</t>
        </is>
      </c>
    </row>
    <row r="592">
      <c r="C592" t="inlineStr">
        <is>
          <t>19. Use of energy by moving object||24. Loss of information</t>
        </is>
      </c>
      <c r="D592" t="inlineStr">
        <is>
          <t>1,35,32,6</t>
        </is>
      </c>
    </row>
    <row r="593">
      <c r="C593" t="inlineStr">
        <is>
          <t>19. Use of energy by moving object||25. Loss of time</t>
        </is>
      </c>
      <c r="D593" t="inlineStr">
        <is>
          <t>12,35,32,26</t>
        </is>
      </c>
    </row>
    <row r="594">
      <c r="C594" t="inlineStr">
        <is>
          <t>19. Use of energy by moving object||26. Amount of substance</t>
        </is>
      </c>
      <c r="D594" t="inlineStr">
        <is>
          <t>28,35,6,22</t>
        </is>
      </c>
    </row>
    <row r="595">
      <c r="C595" t="inlineStr">
        <is>
          <t>19. Use of energy by moving object||27. Reliability</t>
        </is>
      </c>
      <c r="D595" t="inlineStr">
        <is>
          <t>28,35,6,18</t>
        </is>
      </c>
    </row>
    <row r="596">
      <c r="C596" t="inlineStr">
        <is>
          <t>19. Use of energy by moving object||28. Measurement accuracy</t>
        </is>
      </c>
      <c r="D596" t="inlineStr">
        <is>
          <t>6,19,28,24</t>
        </is>
      </c>
    </row>
    <row r="597">
      <c r="C597" t="inlineStr">
        <is>
          <t>19. Use of energy by moving object||29. Manufacturing precision</t>
        </is>
      </c>
      <c r="D597" t="inlineStr">
        <is>
          <t>12,22,35,24</t>
        </is>
      </c>
    </row>
    <row r="598">
      <c r="C598" t="inlineStr">
        <is>
          <t>19. Use of energy by moving object||30. Object-generated harmful effects</t>
        </is>
      </c>
      <c r="D598" t="inlineStr">
        <is>
          <t>35,24,18,5</t>
        </is>
      </c>
    </row>
    <row r="599">
      <c r="C599" t="inlineStr">
        <is>
          <t>19. Use of energy by moving object||31. Harmful side effects</t>
        </is>
      </c>
      <c r="D599" t="inlineStr">
        <is>
          <t>35,38,19,18</t>
        </is>
      </c>
    </row>
    <row r="600">
      <c r="C600" t="inlineStr">
        <is>
          <t>19. Use of energy by moving object||32. Ease of manufacture</t>
        </is>
      </c>
      <c r="D600" t="inlineStr">
        <is>
          <t>34,23,16,18</t>
        </is>
      </c>
    </row>
    <row r="601">
      <c r="C601" t="inlineStr">
        <is>
          <t>19. Use of energy by moving object||33. Ease of operation</t>
        </is>
      </c>
      <c r="D601" t="inlineStr">
        <is>
          <t>35,37</t>
        </is>
      </c>
    </row>
    <row r="602">
      <c r="C602" t="inlineStr">
        <is>
          <t>19. Use of energy by moving object||34. Ease of repair</t>
        </is>
      </c>
      <c r="D602" t="inlineStr">
        <is>
          <t>35,2,22,26</t>
        </is>
      </c>
    </row>
    <row r="603">
      <c r="C603" t="inlineStr">
        <is>
          <t>19. Use of energy by moving object||35. Adaptability or versatility</t>
        </is>
      </c>
      <c r="D603" t="inlineStr">
        <is>
          <t>14,20,19,35</t>
        </is>
      </c>
    </row>
    <row r="604">
      <c r="C604" t="inlineStr">
        <is>
          <t>19. Use of energy by moving object||36. Device complexity</t>
        </is>
      </c>
      <c r="D604" t="inlineStr">
        <is>
          <t>35,32,15,26</t>
        </is>
      </c>
    </row>
    <row r="605">
      <c r="C605" t="inlineStr">
        <is>
          <t>19. Use of energy by moving object||37. Difficulty of detecting and measuring</t>
        </is>
      </c>
      <c r="D605" t="inlineStr">
        <is>
          <t>6,28,25</t>
        </is>
      </c>
    </row>
    <row r="606">
      <c r="C606" t="inlineStr">
        <is>
          <t>19. Use of energy by moving object||38. Extent of automation</t>
        </is>
      </c>
      <c r="D606" t="inlineStr">
        <is>
          <t>3,35,15</t>
        </is>
      </c>
    </row>
    <row r="607">
      <c r="C607" t="inlineStr">
        <is>
          <t>19. Use of energy by moving object||39. Productivity</t>
        </is>
      </c>
      <c r="D607" t="inlineStr">
        <is>
          <t>28,26,18,35</t>
        </is>
      </c>
    </row>
    <row r="608">
      <c r="C608" t="inlineStr">
        <is>
          <t>20. Use of energy by stationary object||2. Weight of stationary object</t>
        </is>
      </c>
      <c r="D608" t="inlineStr">
        <is>
          <t>19,18,36,40</t>
        </is>
      </c>
    </row>
    <row r="609">
      <c r="C609" t="inlineStr">
        <is>
          <t>20. Use of energy by stationary object||4. Length of stationary object</t>
        </is>
      </c>
      <c r="D609" t="inlineStr">
        <is>
          <t>1,26</t>
        </is>
      </c>
    </row>
    <row r="610">
      <c r="C610" t="inlineStr">
        <is>
          <t>20. Use of energy by stationary object||7. Volume of moving object</t>
        </is>
      </c>
      <c r="D610" t="inlineStr">
        <is>
          <t>7,2,35</t>
        </is>
      </c>
    </row>
    <row r="611">
      <c r="C611" t="inlineStr">
        <is>
          <t>20. Use of energy by stationary object||8. Volume of stationary object</t>
        </is>
      </c>
      <c r="D611" t="inlineStr">
        <is>
          <t>35,10,19,14</t>
        </is>
      </c>
    </row>
    <row r="612">
      <c r="C612" t="inlineStr">
        <is>
          <t>20. Use of energy by stationary object||12. Shape</t>
        </is>
      </c>
      <c r="D612" t="inlineStr">
        <is>
          <t>15,13,39</t>
        </is>
      </c>
    </row>
    <row r="613">
      <c r="C613" t="inlineStr">
        <is>
          <t>20. Use of energy by stationary object||17. Temperature</t>
        </is>
      </c>
      <c r="D613" t="inlineStr">
        <is>
          <t>19,32,16</t>
        </is>
      </c>
    </row>
    <row r="614">
      <c r="C614" t="inlineStr">
        <is>
          <t>20. Use of energy by stationary object||19. Use of energy by moving object</t>
        </is>
      </c>
      <c r="D614" t="inlineStr">
        <is>
          <t>19,2,35,32</t>
        </is>
      </c>
    </row>
    <row r="615">
      <c r="C615" t="inlineStr">
        <is>
          <t>20. Use of energy by stationary object||20. Use of energy by stationary object</t>
        </is>
      </c>
      <c r="D615" t="inlineStr">
        <is>
          <t>—</t>
        </is>
      </c>
    </row>
    <row r="616">
      <c r="C616" t="inlineStr">
        <is>
          <t>20. Use of energy by stationary object||21. Power</t>
        </is>
      </c>
      <c r="D616" t="inlineStr">
        <is>
          <t>2,35,16</t>
        </is>
      </c>
    </row>
    <row r="617">
      <c r="C617" t="inlineStr">
        <is>
          <t>20. Use of energy by stationary object||22. Loss of energy</t>
        </is>
      </c>
      <c r="D617" t="inlineStr">
        <is>
          <t>19,24,3,14</t>
        </is>
      </c>
    </row>
    <row r="618">
      <c r="C618" t="inlineStr">
        <is>
          <t>20. Use of energy by stationary object||23. Loss of substance</t>
        </is>
      </c>
      <c r="D618" t="inlineStr">
        <is>
          <t>10,2,22,37</t>
        </is>
      </c>
    </row>
    <row r="619">
      <c r="C619" t="inlineStr">
        <is>
          <t>20. Use of energy by stationary object||24. Loss of information</t>
        </is>
      </c>
      <c r="D619" t="inlineStr">
        <is>
          <t>19,22,18</t>
        </is>
      </c>
    </row>
    <row r="620">
      <c r="C620" t="inlineStr">
        <is>
          <t>20. Use of energy by stationary object||25. Loss of time</t>
        </is>
      </c>
      <c r="D620" t="inlineStr">
        <is>
          <t>16,20,26,5</t>
        </is>
      </c>
    </row>
    <row r="621">
      <c r="C621" t="inlineStr">
        <is>
          <t>20. Use of energy by stationary object||27. Reliability</t>
        </is>
      </c>
      <c r="D621" t="inlineStr">
        <is>
          <t>28,10,29,35</t>
        </is>
      </c>
    </row>
    <row r="622">
      <c r="C622" t="inlineStr">
        <is>
          <t>20. Use of energy by stationary object||28. Measurement accuracy</t>
        </is>
      </c>
      <c r="D622" t="inlineStr">
        <is>
          <t>28,10,35</t>
        </is>
      </c>
    </row>
    <row r="623">
      <c r="C623" t="inlineStr">
        <is>
          <t>20. Use of energy by stationary object||29. Manufacturing precision</t>
        </is>
      </c>
      <c r="D623" t="inlineStr">
        <is>
          <t>28,10,35,27</t>
        </is>
      </c>
    </row>
    <row r="624">
      <c r="C624" t="inlineStr">
        <is>
          <t>20. Use of energy by stationary object||30. Object-generated harmful effects</t>
        </is>
      </c>
      <c r="D624" t="inlineStr">
        <is>
          <t>28,18,10,40</t>
        </is>
      </c>
    </row>
    <row r="625">
      <c r="C625" t="inlineStr">
        <is>
          <t>20. Use of energy by stationary object||31. Harmful side effects</t>
        </is>
      </c>
      <c r="D625" t="inlineStr">
        <is>
          <t>35,10,18,5</t>
        </is>
      </c>
    </row>
    <row r="626">
      <c r="C626" t="inlineStr">
        <is>
          <t>20. Use of energy by stationary object||32. Ease of manufacture</t>
        </is>
      </c>
      <c r="D626" t="inlineStr">
        <is>
          <t>35,10,18</t>
        </is>
      </c>
    </row>
    <row r="627">
      <c r="C627" t="inlineStr">
        <is>
          <t>20. Use of energy by stationary object||33. Ease of operation</t>
        </is>
      </c>
      <c r="D627" t="inlineStr">
        <is>
          <t>35,10,18</t>
        </is>
      </c>
    </row>
    <row r="628">
      <c r="C628" t="inlineStr">
        <is>
          <t>20. Use of energy by stationary object||34. Ease of repair</t>
        </is>
      </c>
      <c r="D628" t="inlineStr">
        <is>
          <t>4,28,10,34</t>
        </is>
      </c>
    </row>
    <row r="629">
      <c r="C629" t="inlineStr">
        <is>
          <t>20. Use of energy by stationary object||35. Adaptability or versatility</t>
        </is>
      </c>
      <c r="D629" t="inlineStr">
        <is>
          <t>12,35,26,18</t>
        </is>
      </c>
    </row>
    <row r="630">
      <c r="C630" t="inlineStr">
        <is>
          <t>20. Use of energy by stationary object||36. Device complexity</t>
        </is>
      </c>
      <c r="D630" t="inlineStr">
        <is>
          <t>12,28,35</t>
        </is>
      </c>
    </row>
    <row r="631">
      <c r="C631" t="inlineStr">
        <is>
          <t>20. Use of energy by stationary object||37. Difficulty of detecting and measuring</t>
        </is>
      </c>
      <c r="D631" t="inlineStr">
        <is>
          <t>3,6,32</t>
        </is>
      </c>
    </row>
    <row r="632">
      <c r="C632" t="inlineStr">
        <is>
          <t>20. Use of energy by stationary object||38. Extent of automation</t>
        </is>
      </c>
      <c r="D632" t="inlineStr">
        <is>
          <t>19,35</t>
        </is>
      </c>
    </row>
    <row r="633">
      <c r="C633" t="inlineStr">
        <is>
          <t>20. Use of energy by stationary object||39. Productivity</t>
        </is>
      </c>
      <c r="D633" t="inlineStr">
        <is>
          <t>1,10,26,39</t>
        </is>
      </c>
    </row>
    <row r="634">
      <c r="C634" t="inlineStr">
        <is>
          <t>21. Power||1. Weight of moving object</t>
        </is>
      </c>
      <c r="D634" t="inlineStr">
        <is>
          <t>8,36,38,31</t>
        </is>
      </c>
    </row>
    <row r="635">
      <c r="C635" t="inlineStr">
        <is>
          <t>21. Power||3. Length of moving object</t>
        </is>
      </c>
      <c r="D635" t="inlineStr">
        <is>
          <t>19,26,17,27</t>
        </is>
      </c>
    </row>
    <row r="636">
      <c r="C636" t="inlineStr">
        <is>
          <t>21. Power||5. Area of moving object</t>
        </is>
      </c>
      <c r="D636" t="inlineStr">
        <is>
          <t>1,10,35,37</t>
        </is>
      </c>
    </row>
    <row r="637">
      <c r="C637" t="inlineStr">
        <is>
          <t>21. Power||7. Volume of moving object</t>
        </is>
      </c>
      <c r="D637" t="inlineStr">
        <is>
          <t>19,38</t>
        </is>
      </c>
    </row>
    <row r="638">
      <c r="C638" t="inlineStr">
        <is>
          <t>21. Power||9. Speed</t>
        </is>
      </c>
      <c r="D638" t="inlineStr">
        <is>
          <t>6,18,38,40</t>
        </is>
      </c>
    </row>
    <row r="639">
      <c r="C639" t="inlineStr">
        <is>
          <t>21. Power||10. Force</t>
        </is>
      </c>
      <c r="D639" t="inlineStr">
        <is>
          <t>2,19,6</t>
        </is>
      </c>
    </row>
    <row r="640">
      <c r="C640" t="inlineStr">
        <is>
          <t>21. Power||11. Stress or pressure</t>
        </is>
      </c>
      <c r="D640" t="inlineStr">
        <is>
          <t>1,10,35,37</t>
        </is>
      </c>
    </row>
    <row r="641">
      <c r="C641" t="inlineStr">
        <is>
          <t>21. Power||12. Shape</t>
        </is>
      </c>
      <c r="D641" t="inlineStr">
        <is>
          <t>19,38</t>
        </is>
      </c>
    </row>
    <row r="642">
      <c r="C642" t="inlineStr">
        <is>
          <t>21. Power||13. Stability of object composition</t>
        </is>
      </c>
      <c r="D642" t="inlineStr">
        <is>
          <t>17,32,13,38</t>
        </is>
      </c>
    </row>
    <row r="643">
      <c r="C643" t="inlineStr">
        <is>
          <t>21. Power||14. Strength</t>
        </is>
      </c>
      <c r="D643" t="inlineStr">
        <is>
          <t>28,10</t>
        </is>
      </c>
    </row>
    <row r="644">
      <c r="C644" t="inlineStr">
        <is>
          <t>21. Power||15. Duration of action - moving</t>
        </is>
      </c>
      <c r="D644" t="inlineStr">
        <is>
          <t>19,10,2,35</t>
        </is>
      </c>
    </row>
    <row r="645">
      <c r="C645" t="inlineStr">
        <is>
          <t>21. Power||17. Temperature</t>
        </is>
      </c>
      <c r="D645" t="inlineStr">
        <is>
          <t>1,35,6,27</t>
        </is>
      </c>
    </row>
    <row r="646">
      <c r="C646" t="inlineStr">
        <is>
          <t>21. Power||18. Illumination intensity</t>
        </is>
      </c>
      <c r="D646" t="inlineStr">
        <is>
          <t>32,35,27,31</t>
        </is>
      </c>
    </row>
    <row r="647">
      <c r="C647" t="inlineStr">
        <is>
          <t>21. Power||19. Use of energy by moving object</t>
        </is>
      </c>
      <c r="D647" t="inlineStr">
        <is>
          <t>12,35,28,31</t>
        </is>
      </c>
    </row>
    <row r="648">
      <c r="C648" t="inlineStr">
        <is>
          <t>21. Power||20. Use of energy by stationary object</t>
        </is>
      </c>
      <c r="D648" t="inlineStr">
        <is>
          <t>2,35,6</t>
        </is>
      </c>
    </row>
    <row r="649">
      <c r="C649" t="inlineStr">
        <is>
          <t>21. Power||21. Power</t>
        </is>
      </c>
      <c r="D649" t="inlineStr">
        <is>
          <t>—</t>
        </is>
      </c>
    </row>
    <row r="650">
      <c r="C650" t="inlineStr">
        <is>
          <t>21. Power||22. Loss of energy</t>
        </is>
      </c>
      <c r="D650" t="inlineStr">
        <is>
          <t>19,10,19,38</t>
        </is>
      </c>
    </row>
    <row r="651">
      <c r="C651" t="inlineStr">
        <is>
          <t>21. Power||23. Loss of substance</t>
        </is>
      </c>
      <c r="D651" t="inlineStr">
        <is>
          <t>7,23,1,21</t>
        </is>
      </c>
    </row>
    <row r="652">
      <c r="C652" t="inlineStr">
        <is>
          <t>21. Power||24. Loss of information</t>
        </is>
      </c>
      <c r="D652" t="inlineStr">
        <is>
          <t>35,22</t>
        </is>
      </c>
    </row>
    <row r="653">
      <c r="C653" t="inlineStr">
        <is>
          <t>21. Power||25. Loss of time</t>
        </is>
      </c>
      <c r="D653" t="inlineStr">
        <is>
          <t>10,5,18,32</t>
        </is>
      </c>
    </row>
    <row r="654">
      <c r="C654" t="inlineStr">
        <is>
          <t>21. Power||26. Amount of substance</t>
        </is>
      </c>
      <c r="D654" t="inlineStr">
        <is>
          <t>10,35,40,34</t>
        </is>
      </c>
    </row>
    <row r="655">
      <c r="C655" t="inlineStr">
        <is>
          <t>21. Power||27. Reliability</t>
        </is>
      </c>
      <c r="D655" t="inlineStr">
        <is>
          <t>10,35,14</t>
        </is>
      </c>
    </row>
    <row r="656">
      <c r="C656" t="inlineStr">
        <is>
          <t>21. Power||28. Measurement accuracy</t>
        </is>
      </c>
      <c r="D656" t="inlineStr">
        <is>
          <t>3,35,13,21</t>
        </is>
      </c>
    </row>
    <row r="657">
      <c r="C657" t="inlineStr">
        <is>
          <t>21. Power||29. Manufacturing precision</t>
        </is>
      </c>
      <c r="D657" t="inlineStr">
        <is>
          <t>10,28,29,37</t>
        </is>
      </c>
    </row>
    <row r="658">
      <c r="C658" t="inlineStr">
        <is>
          <t>21. Power||30. Object-generated harmful effects</t>
        </is>
      </c>
      <c r="D658" t="inlineStr">
        <is>
          <t>3,18,35,37</t>
        </is>
      </c>
    </row>
    <row r="659">
      <c r="C659" t="inlineStr">
        <is>
          <t>21. Power||31. Harmful side effects</t>
        </is>
      </c>
      <c r="D659" t="inlineStr">
        <is>
          <t>10,13,28,38</t>
        </is>
      </c>
    </row>
    <row r="660">
      <c r="C660" t="inlineStr">
        <is>
          <t>21. Power||32. Ease of manufacture</t>
        </is>
      </c>
      <c r="D660" t="inlineStr">
        <is>
          <t>5,11,1,23</t>
        </is>
      </c>
    </row>
    <row r="661">
      <c r="C661" t="inlineStr">
        <is>
          <t>21. Power||33. Ease of operation</t>
        </is>
      </c>
      <c r="D661" t="inlineStr">
        <is>
          <t>3,13,6,22</t>
        </is>
      </c>
    </row>
    <row r="662">
      <c r="C662" t="inlineStr">
        <is>
          <t>21. Power||34. Ease of repair</t>
        </is>
      </c>
      <c r="D662" t="inlineStr">
        <is>
          <t>11,22,22,13</t>
        </is>
      </c>
    </row>
    <row r="663">
      <c r="C663" t="inlineStr">
        <is>
          <t>21. Power||35. Adaptability or versatility</t>
        </is>
      </c>
      <c r="D663" t="inlineStr">
        <is>
          <t>10,21,22</t>
        </is>
      </c>
    </row>
    <row r="664">
      <c r="C664" t="inlineStr">
        <is>
          <t>21. Power||36. Device complexity</t>
        </is>
      </c>
      <c r="D664" t="inlineStr">
        <is>
          <t>29,1,35,27</t>
        </is>
      </c>
    </row>
    <row r="665">
      <c r="C665" t="inlineStr">
        <is>
          <t>21. Power||37. Difficulty of detecting and measuring</t>
        </is>
      </c>
      <c r="D665" t="inlineStr">
        <is>
          <t>3,13,27,10</t>
        </is>
      </c>
    </row>
    <row r="666">
      <c r="C666" t="inlineStr">
        <is>
          <t>21. Power||38. Extent of automation</t>
        </is>
      </c>
      <c r="D666" t="inlineStr">
        <is>
          <t>3,35,10,40</t>
        </is>
      </c>
    </row>
    <row r="667">
      <c r="C667" t="inlineStr">
        <is>
          <t>21. Power||39. Productivity</t>
        </is>
      </c>
      <c r="D667" t="inlineStr">
        <is>
          <t>28,29,37,36</t>
        </is>
      </c>
    </row>
    <row r="668">
      <c r="C668" t="inlineStr">
        <is>
          <t>22. Loss of energy||1. Weight of moving object</t>
        </is>
      </c>
      <c r="D668" t="inlineStr">
        <is>
          <t>15,6,19,28</t>
        </is>
      </c>
    </row>
    <row r="669">
      <c r="C669" t="inlineStr">
        <is>
          <t>22. Loss of energy||2. Weight of stationary object</t>
        </is>
      </c>
      <c r="D669" t="inlineStr">
        <is>
          <t>19,6,18,9</t>
        </is>
      </c>
    </row>
    <row r="670">
      <c r="C670" t="inlineStr">
        <is>
          <t>22. Loss of energy||3. Length of moving object</t>
        </is>
      </c>
      <c r="D670" t="inlineStr">
        <is>
          <t>7,2,6,13</t>
        </is>
      </c>
    </row>
    <row r="671">
      <c r="C671" t="inlineStr">
        <is>
          <t>22. Loss of energy||5. Area of moving object</t>
        </is>
      </c>
      <c r="D671" t="inlineStr">
        <is>
          <t>16,35,38</t>
        </is>
      </c>
    </row>
    <row r="672">
      <c r="C672" t="inlineStr">
        <is>
          <t>22. Loss of energy||7. Volume of moving object</t>
        </is>
      </c>
      <c r="D672" t="inlineStr">
        <is>
          <t>36,38,10,19</t>
        </is>
      </c>
    </row>
    <row r="673">
      <c r="C673" t="inlineStr">
        <is>
          <t>22. Loss of energy||9. Speed</t>
        </is>
      </c>
      <c r="D673" t="inlineStr">
        <is>
          <t>14,2,39,6</t>
        </is>
      </c>
    </row>
    <row r="674">
      <c r="C674" t="inlineStr">
        <is>
          <t>22. Loss of energy||10. Force</t>
        </is>
      </c>
      <c r="D674" t="inlineStr">
        <is>
          <t>26,10,28</t>
        </is>
      </c>
    </row>
    <row r="675">
      <c r="C675" t="inlineStr">
        <is>
          <t>22. Loss of energy||11. Stress or pressure</t>
        </is>
      </c>
      <c r="D675" t="inlineStr">
        <is>
          <t>1,28,35,10</t>
        </is>
      </c>
    </row>
    <row r="676">
      <c r="C676" t="inlineStr">
        <is>
          <t>22. Loss of energy||12. Shape</t>
        </is>
      </c>
      <c r="D676" t="inlineStr">
        <is>
          <t>2,7,17</t>
        </is>
      </c>
    </row>
    <row r="677">
      <c r="C677" t="inlineStr">
        <is>
          <t>22. Loss of energy||13. Stability of object composition</t>
        </is>
      </c>
      <c r="D677" t="inlineStr">
        <is>
          <t>1,28,35,10</t>
        </is>
      </c>
    </row>
    <row r="678">
      <c r="C678" t="inlineStr">
        <is>
          <t>22. Loss of energy||14. Strength</t>
        </is>
      </c>
      <c r="D678" t="inlineStr">
        <is>
          <t>3,27,28,35</t>
        </is>
      </c>
    </row>
    <row r="679">
      <c r="C679" t="inlineStr">
        <is>
          <t>22. Loss of energy||15. Duration of action - moving</t>
        </is>
      </c>
      <c r="D679" t="inlineStr">
        <is>
          <t>35,3,22,5</t>
        </is>
      </c>
    </row>
    <row r="680">
      <c r="C680" t="inlineStr">
        <is>
          <t>22. Loss of energy||17. Temperature</t>
        </is>
      </c>
      <c r="D680" t="inlineStr">
        <is>
          <t>35,38</t>
        </is>
      </c>
    </row>
    <row r="681">
      <c r="C681" t="inlineStr">
        <is>
          <t>22. Loss of energy||18. Illumination intensity</t>
        </is>
      </c>
      <c r="D681" t="inlineStr">
        <is>
          <t>28,6,35,18</t>
        </is>
      </c>
    </row>
    <row r="682">
      <c r="C682" t="inlineStr">
        <is>
          <t>22. Loss of energy||19. Use of energy by moving object</t>
        </is>
      </c>
      <c r="D682" t="inlineStr">
        <is>
          <t>28,27,18,31</t>
        </is>
      </c>
    </row>
    <row r="683">
      <c r="C683" t="inlineStr">
        <is>
          <t>22. Loss of energy||20. Use of energy by stationary object</t>
        </is>
      </c>
      <c r="D683" t="inlineStr">
        <is>
          <t>14,2,39,6</t>
        </is>
      </c>
    </row>
    <row r="684">
      <c r="C684" t="inlineStr">
        <is>
          <t>22. Loss of energy||21. Power</t>
        </is>
      </c>
      <c r="D684" t="inlineStr">
        <is>
          <t>19,10,19,38</t>
        </is>
      </c>
    </row>
    <row r="685">
      <c r="C685" t="inlineStr">
        <is>
          <t>22. Loss of energy||22. Loss of energy</t>
        </is>
      </c>
      <c r="D685" t="inlineStr">
        <is>
          <t>—</t>
        </is>
      </c>
    </row>
    <row r="686">
      <c r="C686" t="inlineStr">
        <is>
          <t>22. Loss of energy||23. Loss of substance</t>
        </is>
      </c>
      <c r="D686" t="inlineStr">
        <is>
          <t>35,6,23,40</t>
        </is>
      </c>
    </row>
    <row r="687">
      <c r="C687" t="inlineStr">
        <is>
          <t>22. Loss of energy||24. Loss of information</t>
        </is>
      </c>
      <c r="D687" t="inlineStr">
        <is>
          <t>10,6,2,34</t>
        </is>
      </c>
    </row>
    <row r="688">
      <c r="C688" t="inlineStr">
        <is>
          <t>22. Loss of energy||25. Loss of time</t>
        </is>
      </c>
      <c r="D688" t="inlineStr">
        <is>
          <t>35,6,22,32</t>
        </is>
      </c>
    </row>
    <row r="689">
      <c r="C689" t="inlineStr">
        <is>
          <t>22. Loss of energy||26. Amount of substance</t>
        </is>
      </c>
      <c r="D689" t="inlineStr">
        <is>
          <t>26,35,28,10</t>
        </is>
      </c>
    </row>
    <row r="690">
      <c r="C690" t="inlineStr">
        <is>
          <t>22. Loss of energy||27. Reliability</t>
        </is>
      </c>
      <c r="D690" t="inlineStr">
        <is>
          <t>28,27,15,3</t>
        </is>
      </c>
    </row>
    <row r="691">
      <c r="C691" t="inlineStr">
        <is>
          <t>22. Loss of energy||28. Measurement accuracy</t>
        </is>
      </c>
      <c r="D691" t="inlineStr">
        <is>
          <t>10,26,35</t>
        </is>
      </c>
    </row>
    <row r="692">
      <c r="C692" t="inlineStr">
        <is>
          <t>22. Loss of energy||29. Manufacturing precision</t>
        </is>
      </c>
      <c r="D692" t="inlineStr">
        <is>
          <t>3,28,35,27</t>
        </is>
      </c>
    </row>
    <row r="693">
      <c r="C693" t="inlineStr">
        <is>
          <t>22. Loss of energy||30. Object-generated harmful effects</t>
        </is>
      </c>
      <c r="D693" t="inlineStr">
        <is>
          <t>22,35,13,24</t>
        </is>
      </c>
    </row>
    <row r="694">
      <c r="C694" t="inlineStr">
        <is>
          <t>22. Loss of energy||31. Harmful side effects</t>
        </is>
      </c>
      <c r="D694" t="inlineStr">
        <is>
          <t>22,35,2,24</t>
        </is>
      </c>
    </row>
    <row r="695">
      <c r="C695" t="inlineStr">
        <is>
          <t>22. Loss of energy||32. Ease of manufacture</t>
        </is>
      </c>
      <c r="D695" t="inlineStr">
        <is>
          <t>26,28,10,36</t>
        </is>
      </c>
    </row>
    <row r="696">
      <c r="C696" t="inlineStr">
        <is>
          <t>22. Loss of energy||33. Ease of operation</t>
        </is>
      </c>
      <c r="D696" t="inlineStr">
        <is>
          <t>14,2,39,35</t>
        </is>
      </c>
    </row>
    <row r="697">
      <c r="C697" t="inlineStr">
        <is>
          <t>22. Loss of energy||34. Ease of repair</t>
        </is>
      </c>
      <c r="D697" t="inlineStr">
        <is>
          <t>14,2,39,35</t>
        </is>
      </c>
    </row>
    <row r="698">
      <c r="C698" t="inlineStr">
        <is>
          <t>22. Loss of energy||35. Adaptability or versatility</t>
        </is>
      </c>
      <c r="D698" t="inlineStr">
        <is>
          <t>2,14,30,40</t>
        </is>
      </c>
    </row>
    <row r="699">
      <c r="C699" t="inlineStr">
        <is>
          <t>22. Loss of energy||36. Device complexity</t>
        </is>
      </c>
      <c r="D699" t="inlineStr">
        <is>
          <t>25,28,2,16</t>
        </is>
      </c>
    </row>
    <row r="700">
      <c r="C700" t="inlineStr">
        <is>
          <t>22. Loss of energy||37. Difficulty of detecting and measuring</t>
        </is>
      </c>
      <c r="D700" t="inlineStr">
        <is>
          <t>22,21,27,35</t>
        </is>
      </c>
    </row>
    <row r="701">
      <c r="C701" t="inlineStr">
        <is>
          <t>22. Loss of energy||38. Extent of automation</t>
        </is>
      </c>
      <c r="D701" t="inlineStr">
        <is>
          <t>2,33,27,18</t>
        </is>
      </c>
    </row>
    <row r="702">
      <c r="C702" t="inlineStr">
        <is>
          <t>22. Loss of energy||39. Productivity</t>
        </is>
      </c>
      <c r="D702" t="inlineStr">
        <is>
          <t>35,28,10,2</t>
        </is>
      </c>
    </row>
    <row r="703">
      <c r="C703" t="inlineStr">
        <is>
          <t>23. Loss of substance||1. Weight of moving object</t>
        </is>
      </c>
      <c r="D703" t="inlineStr">
        <is>
          <t>35,6,23,40</t>
        </is>
      </c>
    </row>
    <row r="704">
      <c r="C704" t="inlineStr">
        <is>
          <t>23. Loss of substance||2. Weight of stationary object</t>
        </is>
      </c>
      <c r="D704" t="inlineStr">
        <is>
          <t>35,6,22,32</t>
        </is>
      </c>
    </row>
    <row r="705">
      <c r="C705" t="inlineStr">
        <is>
          <t>23. Loss of substance||3. Length of moving object</t>
        </is>
      </c>
      <c r="D705" t="inlineStr">
        <is>
          <t>14,29,10,39</t>
        </is>
      </c>
    </row>
    <row r="706">
      <c r="C706" t="inlineStr">
        <is>
          <t>23. Loss of substance||4. Length of stationary object</t>
        </is>
      </c>
      <c r="D706" t="inlineStr">
        <is>
          <t>10,28,24</t>
        </is>
      </c>
    </row>
    <row r="707">
      <c r="C707" t="inlineStr">
        <is>
          <t>23. Loss of substance||5. Area of moving object</t>
        </is>
      </c>
      <c r="D707" t="inlineStr">
        <is>
          <t>35,2,10,31</t>
        </is>
      </c>
    </row>
    <row r="708">
      <c r="C708" t="inlineStr">
        <is>
          <t>23. Loss of substance||6. Area of stationary object</t>
        </is>
      </c>
      <c r="D708" t="inlineStr">
        <is>
          <t>10,3,18,40</t>
        </is>
      </c>
    </row>
    <row r="709">
      <c r="C709" t="inlineStr">
        <is>
          <t>23. Loss of substance||7. Volume of moving object</t>
        </is>
      </c>
      <c r="D709" t="inlineStr">
        <is>
          <t>35,10,18,32</t>
        </is>
      </c>
    </row>
    <row r="710">
      <c r="C710" t="inlineStr">
        <is>
          <t>23. Loss of substance||8. Volume of stationary object</t>
        </is>
      </c>
      <c r="D710" t="inlineStr">
        <is>
          <t>35,18,10,13</t>
        </is>
      </c>
    </row>
    <row r="711">
      <c r="C711" t="inlineStr">
        <is>
          <t>23. Loss of substance||9. Speed</t>
        </is>
      </c>
      <c r="D711" t="inlineStr">
        <is>
          <t>14,15,1,16</t>
        </is>
      </c>
    </row>
    <row r="712">
      <c r="C712" t="inlineStr">
        <is>
          <t>23. Loss of substance||10. Force</t>
        </is>
      </c>
      <c r="D712" t="inlineStr">
        <is>
          <t>35,10,4</t>
        </is>
      </c>
    </row>
    <row r="713">
      <c r="C713" t="inlineStr">
        <is>
          <t>23. Loss of substance||11. Stress or pressure</t>
        </is>
      </c>
      <c r="D713" t="inlineStr">
        <is>
          <t>33,28,25,10</t>
        </is>
      </c>
    </row>
    <row r="714">
      <c r="C714" t="inlineStr">
        <is>
          <t>23. Loss of substance||12. Shape</t>
        </is>
      </c>
      <c r="D714" t="inlineStr">
        <is>
          <t>3,35,40,39</t>
        </is>
      </c>
    </row>
    <row r="715">
      <c r="C715" t="inlineStr">
        <is>
          <t>23. Loss of substance||13. Stability of object composition</t>
        </is>
      </c>
      <c r="D715" t="inlineStr">
        <is>
          <t>10,13,28</t>
        </is>
      </c>
    </row>
    <row r="716">
      <c r="C716" t="inlineStr">
        <is>
          <t>23. Loss of substance||14. Strength</t>
        </is>
      </c>
      <c r="D716" t="inlineStr">
        <is>
          <t>3,35,14</t>
        </is>
      </c>
    </row>
    <row r="717">
      <c r="C717" t="inlineStr">
        <is>
          <t>23. Loss of substance||15. Duration of action - moving</t>
        </is>
      </c>
      <c r="D717" t="inlineStr">
        <is>
          <t>10,35,2,39</t>
        </is>
      </c>
    </row>
    <row r="718">
      <c r="C718" t="inlineStr">
        <is>
          <t>23. Loss of substance||16. Duration of action - stationary</t>
        </is>
      </c>
      <c r="D718" t="inlineStr">
        <is>
          <t>1,6,33</t>
        </is>
      </c>
    </row>
    <row r="719">
      <c r="C719" t="inlineStr">
        <is>
          <t>23. Loss of substance||17. Temperature</t>
        </is>
      </c>
      <c r="D719" t="inlineStr">
        <is>
          <t>10,1,4</t>
        </is>
      </c>
    </row>
    <row r="720">
      <c r="C720" t="inlineStr">
        <is>
          <t>23. Loss of substance||18. Illumination intensity</t>
        </is>
      </c>
      <c r="D720" t="inlineStr">
        <is>
          <t>28,10</t>
        </is>
      </c>
    </row>
    <row r="721">
      <c r="C721" t="inlineStr">
        <is>
          <t>23. Loss of substance||19. Use of energy by moving object</t>
        </is>
      </c>
      <c r="D721" t="inlineStr">
        <is>
          <t>35,28,21,18</t>
        </is>
      </c>
    </row>
    <row r="722">
      <c r="C722" t="inlineStr">
        <is>
          <t>23. Loss of substance||20. Use of energy by stationary object</t>
        </is>
      </c>
      <c r="D722" t="inlineStr">
        <is>
          <t>3,18,34,27</t>
        </is>
      </c>
    </row>
    <row r="723">
      <c r="C723" t="inlineStr">
        <is>
          <t>23. Loss of substance||21. Power</t>
        </is>
      </c>
      <c r="D723" t="inlineStr">
        <is>
          <t>10,35,4</t>
        </is>
      </c>
    </row>
    <row r="724">
      <c r="C724" t="inlineStr">
        <is>
          <t>23. Loss of substance||22. Loss of energy</t>
        </is>
      </c>
      <c r="D724" t="inlineStr">
        <is>
          <t>35,16,10,18</t>
        </is>
      </c>
    </row>
    <row r="725">
      <c r="C725" t="inlineStr">
        <is>
          <t>23. Loss of substance||23. Loss of substance</t>
        </is>
      </c>
      <c r="D725" t="inlineStr">
        <is>
          <t>—</t>
        </is>
      </c>
    </row>
    <row r="726">
      <c r="C726" t="inlineStr">
        <is>
          <t>23. Loss of substance||24. Loss of information</t>
        </is>
      </c>
      <c r="D726" t="inlineStr">
        <is>
          <t>15,18,35,10</t>
        </is>
      </c>
    </row>
    <row r="727">
      <c r="C727" t="inlineStr">
        <is>
          <t>23. Loss of substance||25. Loss of time</t>
        </is>
      </c>
      <c r="D727" t="inlineStr">
        <is>
          <t>6,3,10,24</t>
        </is>
      </c>
    </row>
    <row r="728">
      <c r="C728" t="inlineStr">
        <is>
          <t>23. Loss of substance||26. Amount of substance</t>
        </is>
      </c>
      <c r="D728" t="inlineStr">
        <is>
          <t>10,29,39,35</t>
        </is>
      </c>
    </row>
    <row r="729">
      <c r="C729" t="inlineStr">
        <is>
          <t>23. Loss of substance||27. Reliability</t>
        </is>
      </c>
      <c r="D729" t="inlineStr">
        <is>
          <t>10,14,35,3</t>
        </is>
      </c>
    </row>
    <row r="730">
      <c r="C730" t="inlineStr">
        <is>
          <t>23. Loss of substance||28. Measurement accuracy</t>
        </is>
      </c>
      <c r="D730" t="inlineStr">
        <is>
          <t>3,28,35,27</t>
        </is>
      </c>
    </row>
    <row r="731">
      <c r="C731" t="inlineStr">
        <is>
          <t>23. Loss of substance||29. Manufacturing precision</t>
        </is>
      </c>
      <c r="D731" t="inlineStr">
        <is>
          <t>3,28,10,25</t>
        </is>
      </c>
    </row>
    <row r="732">
      <c r="C732" t="inlineStr">
        <is>
          <t>23. Loss of substance||30. Object-generated harmful effects</t>
        </is>
      </c>
      <c r="D732" t="inlineStr">
        <is>
          <t>35,3,15,23</t>
        </is>
      </c>
    </row>
    <row r="733">
      <c r="C733" t="inlineStr">
        <is>
          <t>23. Loss of substance||31. Harmful side effects</t>
        </is>
      </c>
      <c r="D733" t="inlineStr">
        <is>
          <t>35,1,32</t>
        </is>
      </c>
    </row>
    <row r="734">
      <c r="C734" t="inlineStr">
        <is>
          <t>23. Loss of substance||32. Ease of manufacture</t>
        </is>
      </c>
      <c r="D734" t="inlineStr">
        <is>
          <t>2,35,6</t>
        </is>
      </c>
    </row>
    <row r="735">
      <c r="C735" t="inlineStr">
        <is>
          <t>23. Loss of substance||33. Ease of operation</t>
        </is>
      </c>
      <c r="D735" t="inlineStr">
        <is>
          <t>28,35,15,10</t>
        </is>
      </c>
    </row>
    <row r="736">
      <c r="C736" t="inlineStr">
        <is>
          <t>23. Loss of substance||34. Ease of repair</t>
        </is>
      </c>
      <c r="D736" t="inlineStr">
        <is>
          <t>35,10,28,24</t>
        </is>
      </c>
    </row>
    <row r="737">
      <c r="C737" t="inlineStr">
        <is>
          <t>23. Loss of substance||35. Adaptability or versatility</t>
        </is>
      </c>
      <c r="D737" t="inlineStr">
        <is>
          <t>35,18,34</t>
        </is>
      </c>
    </row>
    <row r="738">
      <c r="C738" t="inlineStr">
        <is>
          <t>23. Loss of substance||36. Device complexity</t>
        </is>
      </c>
      <c r="D738" t="inlineStr">
        <is>
          <t>1,28,10,25</t>
        </is>
      </c>
    </row>
    <row r="739">
      <c r="C739" t="inlineStr">
        <is>
          <t>23. Loss of substance||37. Difficulty of detecting and measuring</t>
        </is>
      </c>
      <c r="D739" t="inlineStr">
        <is>
          <t>3,6,32</t>
        </is>
      </c>
    </row>
    <row r="740">
      <c r="C740" t="inlineStr">
        <is>
          <t>23. Loss of substance||38. Extent of automation</t>
        </is>
      </c>
      <c r="D740" t="inlineStr">
        <is>
          <t>28,35,10,23</t>
        </is>
      </c>
    </row>
    <row r="741">
      <c r="C741" t="inlineStr">
        <is>
          <t>23. Loss of substance||39. Productivity</t>
        </is>
      </c>
      <c r="D741" t="inlineStr">
        <is>
          <t>13,23,15</t>
        </is>
      </c>
    </row>
    <row r="742">
      <c r="C742" t="inlineStr">
        <is>
          <t>24. Loss of information||3. Length of moving object</t>
        </is>
      </c>
      <c r="D742" t="inlineStr">
        <is>
          <t>10,28,29,35</t>
        </is>
      </c>
    </row>
    <row r="743">
      <c r="C743" t="inlineStr">
        <is>
          <t>24. Loss of information||5. Area of moving object</t>
        </is>
      </c>
      <c r="D743" t="inlineStr">
        <is>
          <t>14,9,13</t>
        </is>
      </c>
    </row>
    <row r="744">
      <c r="C744" t="inlineStr">
        <is>
          <t>24. Loss of information||7. Volume of moving object</t>
        </is>
      </c>
      <c r="D744" t="inlineStr">
        <is>
          <t>26,24</t>
        </is>
      </c>
    </row>
    <row r="745">
      <c r="C745" t="inlineStr">
        <is>
          <t>24. Loss of information||9. Speed</t>
        </is>
      </c>
      <c r="D745" t="inlineStr">
        <is>
          <t>22,26,28,32</t>
        </is>
      </c>
    </row>
    <row r="746">
      <c r="C746" t="inlineStr">
        <is>
          <t>24. Loss of information||10. Force</t>
        </is>
      </c>
      <c r="D746" t="inlineStr">
        <is>
          <t>26,32</t>
        </is>
      </c>
    </row>
    <row r="747">
      <c r="C747" t="inlineStr">
        <is>
          <t>24. Loss of information||11. Stress or pressure</t>
        </is>
      </c>
      <c r="D747" t="inlineStr">
        <is>
          <t>10,16,31,28</t>
        </is>
      </c>
    </row>
    <row r="748">
      <c r="C748" t="inlineStr">
        <is>
          <t>24. Loss of information||12. Shape</t>
        </is>
      </c>
      <c r="D748" t="inlineStr">
        <is>
          <t>10,28,35,25</t>
        </is>
      </c>
    </row>
    <row r="749">
      <c r="C749" t="inlineStr">
        <is>
          <t>24. Loss of information||13. Stability of object composition</t>
        </is>
      </c>
      <c r="D749" t="inlineStr">
        <is>
          <t>2,22</t>
        </is>
      </c>
    </row>
    <row r="750">
      <c r="C750" t="inlineStr">
        <is>
          <t>24. Loss of information||14. Strength</t>
        </is>
      </c>
      <c r="D750" t="inlineStr">
        <is>
          <t>10,16,29,35</t>
        </is>
      </c>
    </row>
    <row r="751">
      <c r="C751" t="inlineStr">
        <is>
          <t>24. Loss of information||15. Duration of action - moving</t>
        </is>
      </c>
      <c r="D751" t="inlineStr">
        <is>
          <t>22,10,1</t>
        </is>
      </c>
    </row>
    <row r="752">
      <c r="C752" t="inlineStr">
        <is>
          <t>24. Loss of information||16. Duration of action - stationary</t>
        </is>
      </c>
      <c r="D752" t="inlineStr">
        <is>
          <t>35,24</t>
        </is>
      </c>
    </row>
    <row r="753">
      <c r="C753" t="inlineStr">
        <is>
          <t>24. Loss of information||17. Temperature</t>
        </is>
      </c>
      <c r="D753" t="inlineStr">
        <is>
          <t>10,6,2,34</t>
        </is>
      </c>
    </row>
    <row r="754">
      <c r="C754" t="inlineStr">
        <is>
          <t>24. Loss of information||18. Illumination intensity</t>
        </is>
      </c>
      <c r="D754" t="inlineStr">
        <is>
          <t>26,35</t>
        </is>
      </c>
    </row>
    <row r="755">
      <c r="C755" t="inlineStr">
        <is>
          <t>24. Loss of information||19. Use of energy by moving object</t>
        </is>
      </c>
      <c r="D755" t="inlineStr">
        <is>
          <t>26,24,32</t>
        </is>
      </c>
    </row>
    <row r="756">
      <c r="C756" t="inlineStr">
        <is>
          <t>24. Loss of information||20. Use of energy by stationary object</t>
        </is>
      </c>
      <c r="D756" t="inlineStr">
        <is>
          <t>28,26,10</t>
        </is>
      </c>
    </row>
    <row r="757">
      <c r="C757" t="inlineStr">
        <is>
          <t>24. Loss of information||21. Power</t>
        </is>
      </c>
      <c r="D757" t="inlineStr">
        <is>
          <t>10,26,35</t>
        </is>
      </c>
    </row>
    <row r="758">
      <c r="C758" t="inlineStr">
        <is>
          <t>24. Loss of information||22. Loss of energy</t>
        </is>
      </c>
      <c r="D758" t="inlineStr">
        <is>
          <t>26,35,10</t>
        </is>
      </c>
    </row>
    <row r="759">
      <c r="C759" t="inlineStr">
        <is>
          <t>24. Loss of information||23. Loss of substance</t>
        </is>
      </c>
      <c r="D759" t="inlineStr">
        <is>
          <t>10,6,2,34</t>
        </is>
      </c>
    </row>
    <row r="760">
      <c r="C760" t="inlineStr">
        <is>
          <t>24. Loss of information||24. Loss of information</t>
        </is>
      </c>
      <c r="D760" t="inlineStr">
        <is>
          <t>—</t>
        </is>
      </c>
    </row>
    <row r="761">
      <c r="C761" t="inlineStr">
        <is>
          <t>24. Loss of information||25. Loss of time</t>
        </is>
      </c>
      <c r="D761" t="inlineStr">
        <is>
          <t>26,24,32</t>
        </is>
      </c>
    </row>
    <row r="762">
      <c r="C762" t="inlineStr">
        <is>
          <t>24. Loss of information||26. Amount of substance</t>
        </is>
      </c>
      <c r="D762" t="inlineStr">
        <is>
          <t>10,28,35</t>
        </is>
      </c>
    </row>
    <row r="763">
      <c r="C763" t="inlineStr">
        <is>
          <t>24. Loss of information||27. Reliability</t>
        </is>
      </c>
      <c r="D763" t="inlineStr">
        <is>
          <t>35,18,16,15</t>
        </is>
      </c>
    </row>
    <row r="764">
      <c r="C764" t="inlineStr">
        <is>
          <t>24. Loss of information||28. Measurement accuracy</t>
        </is>
      </c>
      <c r="D764" t="inlineStr">
        <is>
          <t>10,35,2,39</t>
        </is>
      </c>
    </row>
    <row r="765">
      <c r="C765" t="inlineStr">
        <is>
          <t>24. Loss of information||29. Manufacturing precision</t>
        </is>
      </c>
      <c r="D765" t="inlineStr">
        <is>
          <t>10,28,23</t>
        </is>
      </c>
    </row>
    <row r="766">
      <c r="C766" t="inlineStr">
        <is>
          <t>24. Loss of information||30. Object-generated harmful effects</t>
        </is>
      </c>
      <c r="D766" t="inlineStr">
        <is>
          <t>10,19,2,35</t>
        </is>
      </c>
    </row>
    <row r="767">
      <c r="C767" t="inlineStr">
        <is>
          <t>24. Loss of information||31. Harmful side effects</t>
        </is>
      </c>
      <c r="D767" t="inlineStr">
        <is>
          <t>19,10,3,28</t>
        </is>
      </c>
    </row>
    <row r="768">
      <c r="C768" t="inlineStr">
        <is>
          <t>24. Loss of information||32. Ease of manufacture</t>
        </is>
      </c>
      <c r="D768" t="inlineStr">
        <is>
          <t>28,35,10,23</t>
        </is>
      </c>
    </row>
    <row r="769">
      <c r="C769" t="inlineStr">
        <is>
          <t>24. Loss of information||33. Ease of operation</t>
        </is>
      </c>
      <c r="D769" t="inlineStr">
        <is>
          <t>15,3,32,19</t>
        </is>
      </c>
    </row>
    <row r="770">
      <c r="C770" t="inlineStr">
        <is>
          <t>24. Loss of information||34. Ease of repair</t>
        </is>
      </c>
      <c r="D770" t="inlineStr">
        <is>
          <t>15,3,29,35</t>
        </is>
      </c>
    </row>
    <row r="771">
      <c r="C771" t="inlineStr">
        <is>
          <t>24. Loss of information||35. Adaptability or versatility</t>
        </is>
      </c>
      <c r="D771" t="inlineStr">
        <is>
          <t>35,18,34</t>
        </is>
      </c>
    </row>
    <row r="772">
      <c r="C772" t="inlineStr">
        <is>
          <t>24. Loss of information||36. Device complexity</t>
        </is>
      </c>
      <c r="D772" t="inlineStr">
        <is>
          <t>1,28,10</t>
        </is>
      </c>
    </row>
    <row r="773">
      <c r="C773" t="inlineStr">
        <is>
          <t>24. Loss of information||37. Difficulty of detecting and measuring</t>
        </is>
      </c>
      <c r="D773" t="inlineStr">
        <is>
          <t>3,6,32</t>
        </is>
      </c>
    </row>
    <row r="774">
      <c r="C774" t="inlineStr">
        <is>
          <t>24. Loss of information||38. Extent of automation</t>
        </is>
      </c>
      <c r="D774" t="inlineStr">
        <is>
          <t>35,23,1,24</t>
        </is>
      </c>
    </row>
    <row r="775">
      <c r="C775" t="inlineStr">
        <is>
          <t>24. Loss of information||39. Productivity</t>
        </is>
      </c>
      <c r="D775" t="inlineStr">
        <is>
          <t>10,28,29,35</t>
        </is>
      </c>
    </row>
    <row r="776">
      <c r="C776" t="inlineStr">
        <is>
          <t>25. Loss of time||1. Weight of moving object</t>
        </is>
      </c>
      <c r="D776" t="inlineStr">
        <is>
          <t>10,37,36,5</t>
        </is>
      </c>
    </row>
    <row r="777">
      <c r="C777" t="inlineStr">
        <is>
          <t>25. Loss of time||2. Weight of stationary object</t>
        </is>
      </c>
      <c r="D777" t="inlineStr">
        <is>
          <t>37,36,4</t>
        </is>
      </c>
    </row>
    <row r="778">
      <c r="C778" t="inlineStr">
        <is>
          <t>25. Loss of time||3. Length of moving object</t>
        </is>
      </c>
      <c r="D778" t="inlineStr">
        <is>
          <t>4,10,34,17</t>
        </is>
      </c>
    </row>
    <row r="779">
      <c r="C779" t="inlineStr">
        <is>
          <t>25. Loss of time||4. Length of stationary object</t>
        </is>
      </c>
      <c r="D779" t="inlineStr">
        <is>
          <t>35,3,22,39</t>
        </is>
      </c>
    </row>
    <row r="780">
      <c r="C780" t="inlineStr">
        <is>
          <t>25. Loss of time||5. Area of moving object</t>
        </is>
      </c>
      <c r="D780" t="inlineStr">
        <is>
          <t>29,26,4</t>
        </is>
      </c>
    </row>
    <row r="781">
      <c r="C781" t="inlineStr">
        <is>
          <t>25. Loss of time||6. Area of stationary object</t>
        </is>
      </c>
      <c r="D781" t="inlineStr">
        <is>
          <t>35,38,18,16</t>
        </is>
      </c>
    </row>
    <row r="782">
      <c r="C782" t="inlineStr">
        <is>
          <t>25. Loss of time||7. Volume of moving object</t>
        </is>
      </c>
      <c r="D782" t="inlineStr">
        <is>
          <t>10,30,4</t>
        </is>
      </c>
    </row>
    <row r="783">
      <c r="C783" t="inlineStr">
        <is>
          <t>25. Loss of time||8. Volume of stationary object</t>
        </is>
      </c>
      <c r="D783" t="inlineStr">
        <is>
          <t>24,34,28,32</t>
        </is>
      </c>
    </row>
    <row r="784">
      <c r="C784" t="inlineStr">
        <is>
          <t>25. Loss of time||9. Speed</t>
        </is>
      </c>
      <c r="D784" t="inlineStr">
        <is>
          <t>35,38,18,16</t>
        </is>
      </c>
    </row>
    <row r="785">
      <c r="C785" t="inlineStr">
        <is>
          <t>25. Loss of time||10. Force</t>
        </is>
      </c>
      <c r="D785" t="inlineStr">
        <is>
          <t>10,37,14</t>
        </is>
      </c>
    </row>
    <row r="786">
      <c r="C786" t="inlineStr">
        <is>
          <t>25. Loss of time||11. Stress or pressure</t>
        </is>
      </c>
      <c r="D786" t="inlineStr">
        <is>
          <t>35,22,2,24</t>
        </is>
      </c>
    </row>
    <row r="787">
      <c r="C787" t="inlineStr">
        <is>
          <t>25. Loss of time||12. Shape</t>
        </is>
      </c>
      <c r="D787" t="inlineStr">
        <is>
          <t>2,10,19,30</t>
        </is>
      </c>
    </row>
    <row r="788">
      <c r="C788" t="inlineStr">
        <is>
          <t>25. Loss of time||13. Stability of object composition</t>
        </is>
      </c>
      <c r="D788" t="inlineStr">
        <is>
          <t>35,20,10,6</t>
        </is>
      </c>
    </row>
    <row r="789">
      <c r="C789" t="inlineStr">
        <is>
          <t>25. Loss of time||14. Strength</t>
        </is>
      </c>
      <c r="D789" t="inlineStr">
        <is>
          <t>3,35,39,18</t>
        </is>
      </c>
    </row>
    <row r="790">
      <c r="C790" t="inlineStr">
        <is>
          <t>25. Loss of time||15. Duration of action - moving</t>
        </is>
      </c>
      <c r="D790" t="inlineStr">
        <is>
          <t>35,22,10,2</t>
        </is>
      </c>
    </row>
    <row r="791">
      <c r="C791" t="inlineStr">
        <is>
          <t>25. Loss of time||16. Duration of action - stationary</t>
        </is>
      </c>
      <c r="D791" t="inlineStr">
        <is>
          <t>35,28</t>
        </is>
      </c>
    </row>
    <row r="792">
      <c r="C792" t="inlineStr">
        <is>
          <t>25. Loss of time||17. Temperature</t>
        </is>
      </c>
      <c r="D792" t="inlineStr">
        <is>
          <t>15,2,29</t>
        </is>
      </c>
    </row>
    <row r="793">
      <c r="C793" t="inlineStr">
        <is>
          <t>25. Loss of time||18. Illumination intensity</t>
        </is>
      </c>
      <c r="D793" t="inlineStr">
        <is>
          <t>6,13,28,1</t>
        </is>
      </c>
    </row>
    <row r="794">
      <c r="C794" t="inlineStr">
        <is>
          <t>25. Loss of time||19. Use of energy by moving object</t>
        </is>
      </c>
      <c r="D794" t="inlineStr">
        <is>
          <t>10,5,18,32</t>
        </is>
      </c>
    </row>
    <row r="795">
      <c r="C795" t="inlineStr">
        <is>
          <t>25. Loss of time||20. Use of energy by stationary object</t>
        </is>
      </c>
      <c r="D795" t="inlineStr">
        <is>
          <t>35,16,32,18</t>
        </is>
      </c>
    </row>
    <row r="796">
      <c r="C796" t="inlineStr">
        <is>
          <t>25. Loss of time||21. Power</t>
        </is>
      </c>
      <c r="D796" t="inlineStr">
        <is>
          <t>35,6,22,32</t>
        </is>
      </c>
    </row>
    <row r="797">
      <c r="C797" t="inlineStr">
        <is>
          <t>25. Loss of time||22. Loss of energy</t>
        </is>
      </c>
      <c r="D797" t="inlineStr">
        <is>
          <t>10,37,14</t>
        </is>
      </c>
    </row>
    <row r="798">
      <c r="C798" t="inlineStr">
        <is>
          <t>25. Loss of time||23. Loss of substance</t>
        </is>
      </c>
      <c r="D798" t="inlineStr">
        <is>
          <t>6,3,10,24</t>
        </is>
      </c>
    </row>
    <row r="799">
      <c r="C799" t="inlineStr">
        <is>
          <t>25. Loss of time||24. Loss of information</t>
        </is>
      </c>
      <c r="D799" t="inlineStr">
        <is>
          <t>26,24,32</t>
        </is>
      </c>
    </row>
    <row r="800">
      <c r="C800" t="inlineStr">
        <is>
          <t>25. Loss of time||25. Loss of time</t>
        </is>
      </c>
      <c r="D800" t="inlineStr">
        <is>
          <t>—</t>
        </is>
      </c>
    </row>
    <row r="801">
      <c r="C801" t="inlineStr">
        <is>
          <t>25. Loss of time||26. Amount of substance</t>
        </is>
      </c>
      <c r="D801" t="inlineStr">
        <is>
          <t>35,29</t>
        </is>
      </c>
    </row>
    <row r="802">
      <c r="C802" t="inlineStr">
        <is>
          <t>25. Loss of time||27. Reliability</t>
        </is>
      </c>
      <c r="D802" t="inlineStr">
        <is>
          <t>10,37,36,5</t>
        </is>
      </c>
    </row>
    <row r="803">
      <c r="C803" t="inlineStr">
        <is>
          <t>25. Loss of time||28. Measurement accuracy</t>
        </is>
      </c>
      <c r="D803" t="inlineStr">
        <is>
          <t>4,28,10,34</t>
        </is>
      </c>
    </row>
    <row r="804">
      <c r="C804" t="inlineStr">
        <is>
          <t>25. Loss of time||29. Manufacturing precision</t>
        </is>
      </c>
      <c r="D804" t="inlineStr">
        <is>
          <t>4,28,10,34</t>
        </is>
      </c>
    </row>
    <row r="805">
      <c r="C805" t="inlineStr">
        <is>
          <t>25. Loss of time||30. Object-generated harmful effects</t>
        </is>
      </c>
      <c r="D805" t="inlineStr">
        <is>
          <t>32,1,10,25</t>
        </is>
      </c>
    </row>
    <row r="806">
      <c r="C806" t="inlineStr">
        <is>
          <t>25. Loss of time||31. Harmful side effects</t>
        </is>
      </c>
      <c r="D806" t="inlineStr">
        <is>
          <t>35,28,34,18</t>
        </is>
      </c>
    </row>
    <row r="807">
      <c r="C807" t="inlineStr">
        <is>
          <t>25. Loss of time||32. Ease of manufacture</t>
        </is>
      </c>
      <c r="D807" t="inlineStr">
        <is>
          <t>10,28,4,34</t>
        </is>
      </c>
    </row>
    <row r="808">
      <c r="C808" t="inlineStr">
        <is>
          <t>25. Loss of time||33. Ease of operation</t>
        </is>
      </c>
      <c r="D808" t="inlineStr">
        <is>
          <t>35,10,2</t>
        </is>
      </c>
    </row>
    <row r="809">
      <c r="C809" t="inlineStr">
        <is>
          <t>25. Loss of time||34. Ease of repair</t>
        </is>
      </c>
      <c r="D809" t="inlineStr">
        <is>
          <t>4,28,10,34</t>
        </is>
      </c>
    </row>
    <row r="810">
      <c r="C810" t="inlineStr">
        <is>
          <t>25. Loss of time||35. Adaptability or versatility</t>
        </is>
      </c>
      <c r="D810" t="inlineStr">
        <is>
          <t>32,1,28,35</t>
        </is>
      </c>
    </row>
    <row r="811">
      <c r="C811" t="inlineStr">
        <is>
          <t>25. Loss of time||36. Device complexity</t>
        </is>
      </c>
      <c r="D811" t="inlineStr">
        <is>
          <t>6,29</t>
        </is>
      </c>
    </row>
    <row r="812">
      <c r="C812" t="inlineStr">
        <is>
          <t>25. Loss of time||37. Difficulty of detecting and measuring</t>
        </is>
      </c>
      <c r="D812" t="inlineStr">
        <is>
          <t>1,35,29,38</t>
        </is>
      </c>
    </row>
    <row r="813">
      <c r="C813" t="inlineStr">
        <is>
          <t>25. Loss of time||38. Extent of automation</t>
        </is>
      </c>
      <c r="D813" t="inlineStr">
        <is>
          <t>35,38</t>
        </is>
      </c>
    </row>
    <row r="814">
      <c r="C814" t="inlineStr">
        <is>
          <t>25. Loss of time||39. Productivity</t>
        </is>
      </c>
      <c r="D814" t="inlineStr">
        <is>
          <t>1,35,4,18</t>
        </is>
      </c>
    </row>
    <row r="815">
      <c r="C815" t="inlineStr">
        <is>
          <t>26. Amount of substance||1. Weight of moving object</t>
        </is>
      </c>
      <c r="D815" t="inlineStr">
        <is>
          <t>35,6,18,31</t>
        </is>
      </c>
    </row>
    <row r="816">
      <c r="C816" t="inlineStr">
        <is>
          <t>26. Amount of substance||3. Length of moving object</t>
        </is>
      </c>
      <c r="D816" t="inlineStr">
        <is>
          <t>18,3,28,40</t>
        </is>
      </c>
    </row>
    <row r="817">
      <c r="C817" t="inlineStr">
        <is>
          <t>26. Amount of substance||5. Area of moving object</t>
        </is>
      </c>
      <c r="D817" t="inlineStr">
        <is>
          <t>15,3,29</t>
        </is>
      </c>
    </row>
    <row r="818">
      <c r="C818" t="inlineStr">
        <is>
          <t>26. Amount of substance||6. Area of stationary object</t>
        </is>
      </c>
      <c r="D818" t="inlineStr">
        <is>
          <t>3,13,10,28</t>
        </is>
      </c>
    </row>
    <row r="819">
      <c r="C819" t="inlineStr">
        <is>
          <t>26. Amount of substance||7. Volume of moving object</t>
        </is>
      </c>
      <c r="D819" t="inlineStr">
        <is>
          <t>14,15,18,4</t>
        </is>
      </c>
    </row>
    <row r="820">
      <c r="C820" t="inlineStr">
        <is>
          <t>26. Amount of substance||8. Volume of stationary object</t>
        </is>
      </c>
      <c r="D820" t="inlineStr">
        <is>
          <t>3,36,37,10</t>
        </is>
      </c>
    </row>
    <row r="821">
      <c r="C821" t="inlineStr">
        <is>
          <t>26. Amount of substance||9. Speed</t>
        </is>
      </c>
      <c r="D821" t="inlineStr">
        <is>
          <t>13,3,36,24</t>
        </is>
      </c>
    </row>
    <row r="822">
      <c r="C822" t="inlineStr">
        <is>
          <t>26. Amount of substance||10. Force</t>
        </is>
      </c>
      <c r="D822" t="inlineStr">
        <is>
          <t>3,35,31</t>
        </is>
      </c>
    </row>
    <row r="823">
      <c r="C823" t="inlineStr">
        <is>
          <t>26. Amount of substance||11. Stress or pressure</t>
        </is>
      </c>
      <c r="D823" t="inlineStr">
        <is>
          <t>35,10,33,22</t>
        </is>
      </c>
    </row>
    <row r="824">
      <c r="C824" t="inlineStr">
        <is>
          <t>26. Amount of substance||12. Shape</t>
        </is>
      </c>
      <c r="D824" t="inlineStr">
        <is>
          <t>29,1,35,27</t>
        </is>
      </c>
    </row>
    <row r="825">
      <c r="C825" t="inlineStr">
        <is>
          <t>26. Amount of substance||13. Stability of object composition</t>
        </is>
      </c>
      <c r="D825" t="inlineStr">
        <is>
          <t>35,29,34,28</t>
        </is>
      </c>
    </row>
    <row r="826">
      <c r="C826" t="inlineStr">
        <is>
          <t>26. Amount of substance||14. Strength</t>
        </is>
      </c>
      <c r="D826" t="inlineStr">
        <is>
          <t>35,14,3</t>
        </is>
      </c>
    </row>
    <row r="827">
      <c r="C827" t="inlineStr">
        <is>
          <t>26. Amount of substance||15. Duration of action - moving</t>
        </is>
      </c>
      <c r="D827" t="inlineStr">
        <is>
          <t>15,2,17,40</t>
        </is>
      </c>
    </row>
    <row r="828">
      <c r="C828" t="inlineStr">
        <is>
          <t>26. Amount of substance||17. Temperature</t>
        </is>
      </c>
      <c r="D828" t="inlineStr">
        <is>
          <t>35,6,13,18</t>
        </is>
      </c>
    </row>
    <row r="829">
      <c r="C829" t="inlineStr">
        <is>
          <t>26. Amount of substance||18. Illumination intensity</t>
        </is>
      </c>
      <c r="D829" t="inlineStr">
        <is>
          <t>19,21,35,28</t>
        </is>
      </c>
    </row>
    <row r="830">
      <c r="C830" t="inlineStr">
        <is>
          <t>26. Amount of substance||19. Use of energy by moving object</t>
        </is>
      </c>
      <c r="D830" t="inlineStr">
        <is>
          <t>28,35,6,22</t>
        </is>
      </c>
    </row>
    <row r="831">
      <c r="C831" t="inlineStr">
        <is>
          <t>26. Amount of substance||21. Power</t>
        </is>
      </c>
      <c r="D831" t="inlineStr">
        <is>
          <t>35,29,34,28</t>
        </is>
      </c>
    </row>
    <row r="832">
      <c r="C832" t="inlineStr">
        <is>
          <t>26. Amount of substance||22. Loss of energy</t>
        </is>
      </c>
      <c r="D832" t="inlineStr">
        <is>
          <t>35,6,23</t>
        </is>
      </c>
    </row>
    <row r="833">
      <c r="C833" t="inlineStr">
        <is>
          <t>26. Amount of substance||23. Loss of substance</t>
        </is>
      </c>
      <c r="D833" t="inlineStr">
        <is>
          <t>10,14,29,35</t>
        </is>
      </c>
    </row>
    <row r="834">
      <c r="C834" t="inlineStr">
        <is>
          <t>26. Amount of substance||24. Loss of information</t>
        </is>
      </c>
      <c r="D834" t="inlineStr">
        <is>
          <t>10,36,14,35</t>
        </is>
      </c>
    </row>
    <row r="835">
      <c r="C835" t="inlineStr">
        <is>
          <t>26. Amount of substance||25. Loss of time</t>
        </is>
      </c>
      <c r="D835" t="inlineStr">
        <is>
          <t>35,29</t>
        </is>
      </c>
    </row>
    <row r="836">
      <c r="C836" t="inlineStr">
        <is>
          <t>26. Amount of substance||26. Amount of substance</t>
        </is>
      </c>
      <c r="D836" t="inlineStr">
        <is>
          <t>—</t>
        </is>
      </c>
    </row>
    <row r="837">
      <c r="C837" t="inlineStr">
        <is>
          <t>26. Amount of substance||27. Reliability</t>
        </is>
      </c>
      <c r="D837" t="inlineStr">
        <is>
          <t>35,18,10,13</t>
        </is>
      </c>
    </row>
    <row r="838">
      <c r="C838" t="inlineStr">
        <is>
          <t>26. Amount of substance||28. Measurement accuracy</t>
        </is>
      </c>
      <c r="D838" t="inlineStr">
        <is>
          <t>35,22,18,39</t>
        </is>
      </c>
    </row>
    <row r="839">
      <c r="C839" t="inlineStr">
        <is>
          <t>26. Amount of substance||29. Manufacturing precision</t>
        </is>
      </c>
      <c r="D839" t="inlineStr">
        <is>
          <t>10,3,28,24</t>
        </is>
      </c>
    </row>
    <row r="840">
      <c r="C840" t="inlineStr">
        <is>
          <t>26. Amount of substance||30. Object-generated harmful effects</t>
        </is>
      </c>
      <c r="D840" t="inlineStr">
        <is>
          <t>35,33,29,31</t>
        </is>
      </c>
    </row>
    <row r="841">
      <c r="C841" t="inlineStr">
        <is>
          <t>26. Amount of substance||31. Harmful side effects</t>
        </is>
      </c>
      <c r="D841" t="inlineStr">
        <is>
          <t>3,35,40,39</t>
        </is>
      </c>
    </row>
    <row r="842">
      <c r="C842" t="inlineStr">
        <is>
          <t>26. Amount of substance||32. Ease of manufacture</t>
        </is>
      </c>
      <c r="D842" t="inlineStr">
        <is>
          <t>29,1,35,27</t>
        </is>
      </c>
    </row>
    <row r="843">
      <c r="C843" t="inlineStr">
        <is>
          <t>26. Amount of substance||33. Ease of operation</t>
        </is>
      </c>
      <c r="D843" t="inlineStr">
        <is>
          <t>35,29,25,10</t>
        </is>
      </c>
    </row>
    <row r="844">
      <c r="C844" t="inlineStr">
        <is>
          <t>26. Amount of substance||34. Ease of repair</t>
        </is>
      </c>
      <c r="D844" t="inlineStr">
        <is>
          <t>10,14,35,3</t>
        </is>
      </c>
    </row>
    <row r="845">
      <c r="C845" t="inlineStr">
        <is>
          <t>26. Amount of substance||35. Adaptability or versatility</t>
        </is>
      </c>
      <c r="D845" t="inlineStr">
        <is>
          <t>3,35,10,40</t>
        </is>
      </c>
    </row>
    <row r="846">
      <c r="C846" t="inlineStr">
        <is>
          <t>26. Amount of substance||36. Device complexity</t>
        </is>
      </c>
      <c r="D846" t="inlineStr">
        <is>
          <t>29,26,4</t>
        </is>
      </c>
    </row>
    <row r="847">
      <c r="C847" t="inlineStr">
        <is>
          <t>26. Amount of substance||37. Difficulty of detecting and measuring</t>
        </is>
      </c>
      <c r="D847" t="inlineStr">
        <is>
          <t>29,30,6,13</t>
        </is>
      </c>
    </row>
    <row r="848">
      <c r="C848" t="inlineStr">
        <is>
          <t>26. Amount of substance||38. Extent of automation</t>
        </is>
      </c>
      <c r="D848" t="inlineStr">
        <is>
          <t>35,38</t>
        </is>
      </c>
    </row>
    <row r="849">
      <c r="C849" t="inlineStr">
        <is>
          <t>26. Amount of substance||39. Productivity</t>
        </is>
      </c>
      <c r="D849" t="inlineStr">
        <is>
          <t>14,1,13,16</t>
        </is>
      </c>
    </row>
    <row r="850">
      <c r="C850" t="inlineStr">
        <is>
          <t>27. Reliability||1. Weight of moving object</t>
        </is>
      </c>
      <c r="D850" t="inlineStr">
        <is>
          <t>3,8,10,40</t>
        </is>
      </c>
    </row>
    <row r="851">
      <c r="C851" t="inlineStr">
        <is>
          <t>27. Reliability||2. Weight of stationary object</t>
        </is>
      </c>
      <c r="D851" t="inlineStr">
        <is>
          <t>3,10,8,28</t>
        </is>
      </c>
    </row>
    <row r="852">
      <c r="C852" t="inlineStr">
        <is>
          <t>27. Reliability||3. Length of moving object</t>
        </is>
      </c>
      <c r="D852" t="inlineStr">
        <is>
          <t>15,9,14,4</t>
        </is>
      </c>
    </row>
    <row r="853">
      <c r="C853" t="inlineStr">
        <is>
          <t>27. Reliability||4. Length of stationary object</t>
        </is>
      </c>
      <c r="D853" t="inlineStr">
        <is>
          <t>15,29,28,11</t>
        </is>
      </c>
    </row>
    <row r="854">
      <c r="C854" t="inlineStr">
        <is>
          <t>27. Reliability||5. Area of moving object</t>
        </is>
      </c>
      <c r="D854" t="inlineStr">
        <is>
          <t>17,10,14,16</t>
        </is>
      </c>
    </row>
    <row r="855">
      <c r="C855" t="inlineStr">
        <is>
          <t>27. Reliability||6. Area of stationary object</t>
        </is>
      </c>
      <c r="D855" t="inlineStr">
        <is>
          <t>32,35,26,28</t>
        </is>
      </c>
    </row>
    <row r="856">
      <c r="C856" t="inlineStr">
        <is>
          <t>27. Reliability||7. Volume of moving object</t>
        </is>
      </c>
      <c r="D856" t="inlineStr">
        <is>
          <t>3,10,14</t>
        </is>
      </c>
    </row>
    <row r="857">
      <c r="C857" t="inlineStr">
        <is>
          <t>27. Reliability||8. Volume of stationary object</t>
        </is>
      </c>
      <c r="D857" t="inlineStr">
        <is>
          <t>2,35,24</t>
        </is>
      </c>
    </row>
    <row r="858">
      <c r="C858" t="inlineStr">
        <is>
          <t>27. Reliability||9. Speed</t>
        </is>
      </c>
      <c r="D858" t="inlineStr">
        <is>
          <t>21,35,11,28</t>
        </is>
      </c>
    </row>
    <row r="859">
      <c r="C859" t="inlineStr">
        <is>
          <t>27. Reliability||10. Force</t>
        </is>
      </c>
      <c r="D859" t="inlineStr">
        <is>
          <t>8,28,10,3</t>
        </is>
      </c>
    </row>
    <row r="860">
      <c r="C860" t="inlineStr">
        <is>
          <t>27. Reliability||11. Stress or pressure</t>
        </is>
      </c>
      <c r="D860" t="inlineStr">
        <is>
          <t>10,24,35,19</t>
        </is>
      </c>
    </row>
    <row r="861">
      <c r="C861" t="inlineStr">
        <is>
          <t>27. Reliability||12. Shape</t>
        </is>
      </c>
      <c r="D861" t="inlineStr">
        <is>
          <t>10,11,35</t>
        </is>
      </c>
    </row>
    <row r="862">
      <c r="C862" t="inlineStr">
        <is>
          <t>27. Reliability||13. Stability of object composition</t>
        </is>
      </c>
      <c r="D862" t="inlineStr">
        <is>
          <t>10,35,29,39</t>
        </is>
      </c>
    </row>
    <row r="863">
      <c r="C863" t="inlineStr">
        <is>
          <t>27. Reliability||14. Strength</t>
        </is>
      </c>
      <c r="D863" t="inlineStr">
        <is>
          <t>3,35,10,40</t>
        </is>
      </c>
    </row>
    <row r="864">
      <c r="C864" t="inlineStr">
        <is>
          <t>27. Reliability||15. Duration of action - moving</t>
        </is>
      </c>
      <c r="D864" t="inlineStr">
        <is>
          <t>11,28,10,25</t>
        </is>
      </c>
    </row>
    <row r="865">
      <c r="C865" t="inlineStr">
        <is>
          <t>27. Reliability||16. Duration of action - stationary</t>
        </is>
      </c>
      <c r="D865" t="inlineStr">
        <is>
          <t>3,35,10,40</t>
        </is>
      </c>
    </row>
    <row r="866">
      <c r="C866" t="inlineStr">
        <is>
          <t>27. Reliability||17. Temperature</t>
        </is>
      </c>
      <c r="D866" t="inlineStr">
        <is>
          <t>10,3,11</t>
        </is>
      </c>
    </row>
    <row r="867">
      <c r="C867" t="inlineStr">
        <is>
          <t>27. Reliability||18. Illumination intensity</t>
        </is>
      </c>
      <c r="D867" t="inlineStr">
        <is>
          <t>19,32,28</t>
        </is>
      </c>
    </row>
    <row r="868">
      <c r="C868" t="inlineStr">
        <is>
          <t>27. Reliability||19. Use of energy by moving object</t>
        </is>
      </c>
      <c r="D868" t="inlineStr">
        <is>
          <t>6,19,28,24</t>
        </is>
      </c>
    </row>
    <row r="869">
      <c r="C869" t="inlineStr">
        <is>
          <t>27. Reliability||20. Use of energy by stationary object</t>
        </is>
      </c>
      <c r="D869" t="inlineStr">
        <is>
          <t>6,19,28,24</t>
        </is>
      </c>
    </row>
    <row r="870">
      <c r="C870" t="inlineStr">
        <is>
          <t>27. Reliability||21. Power</t>
        </is>
      </c>
      <c r="D870" t="inlineStr">
        <is>
          <t>10,35,14</t>
        </is>
      </c>
    </row>
    <row r="871">
      <c r="C871" t="inlineStr">
        <is>
          <t>27. Reliability||22. Loss of energy</t>
        </is>
      </c>
      <c r="D871" t="inlineStr">
        <is>
          <t>21,28,40,3</t>
        </is>
      </c>
    </row>
    <row r="872">
      <c r="C872" t="inlineStr">
        <is>
          <t>27. Reliability||23. Loss of substance</t>
        </is>
      </c>
      <c r="D872" t="inlineStr">
        <is>
          <t>10,13,28,35</t>
        </is>
      </c>
    </row>
    <row r="873">
      <c r="C873" t="inlineStr">
        <is>
          <t>27. Reliability||24. Loss of information</t>
        </is>
      </c>
      <c r="D873" t="inlineStr">
        <is>
          <t>10,35,13,8</t>
        </is>
      </c>
    </row>
    <row r="874">
      <c r="C874" t="inlineStr">
        <is>
          <t>27. Reliability||25. Loss of time</t>
        </is>
      </c>
      <c r="D874" t="inlineStr">
        <is>
          <t>10,28,38</t>
        </is>
      </c>
    </row>
    <row r="875">
      <c r="C875" t="inlineStr">
        <is>
          <t>27. Reliability||26. Amount of substance</t>
        </is>
      </c>
      <c r="D875" t="inlineStr">
        <is>
          <t>10,3,11,35</t>
        </is>
      </c>
    </row>
    <row r="876">
      <c r="C876" t="inlineStr">
        <is>
          <t>27. Reliability||27. Reliability</t>
        </is>
      </c>
      <c r="D876" t="inlineStr">
        <is>
          <t>—</t>
        </is>
      </c>
    </row>
    <row r="877">
      <c r="C877" t="inlineStr">
        <is>
          <t>27. Reliability||28. Measurement accuracy</t>
        </is>
      </c>
      <c r="D877" t="inlineStr">
        <is>
          <t>11,27,16</t>
        </is>
      </c>
    </row>
    <row r="878">
      <c r="C878" t="inlineStr">
        <is>
          <t>27. Reliability||29. Manufacturing precision</t>
        </is>
      </c>
      <c r="D878" t="inlineStr">
        <is>
          <t>28,27,15,3</t>
        </is>
      </c>
    </row>
    <row r="879">
      <c r="C879" t="inlineStr">
        <is>
          <t>27. Reliability||30. Object-generated harmful effects</t>
        </is>
      </c>
      <c r="D879" t="inlineStr">
        <is>
          <t>35,3,22,5</t>
        </is>
      </c>
    </row>
    <row r="880">
      <c r="C880" t="inlineStr">
        <is>
          <t>27. Reliability||31. Harmful side effects</t>
        </is>
      </c>
      <c r="D880" t="inlineStr">
        <is>
          <t>11,32,13</t>
        </is>
      </c>
    </row>
    <row r="881">
      <c r="C881" t="inlineStr">
        <is>
          <t>27. Reliability||32. Ease of manufacture</t>
        </is>
      </c>
      <c r="D881" t="inlineStr">
        <is>
          <t>27,35,2,40</t>
        </is>
      </c>
    </row>
    <row r="882">
      <c r="C882" t="inlineStr">
        <is>
          <t>27. Reliability||33. Ease of operation</t>
        </is>
      </c>
      <c r="D882" t="inlineStr">
        <is>
          <t>28,6,35,18</t>
        </is>
      </c>
    </row>
    <row r="883">
      <c r="C883" t="inlineStr">
        <is>
          <t>27. Reliability||34. Ease of repair</t>
        </is>
      </c>
      <c r="D883" t="inlineStr">
        <is>
          <t>35,10,28,24</t>
        </is>
      </c>
    </row>
    <row r="884">
      <c r="C884" t="inlineStr">
        <is>
          <t>27. Reliability||35. Adaptability or versatility</t>
        </is>
      </c>
      <c r="D884" t="inlineStr">
        <is>
          <t>1,35,40,28</t>
        </is>
      </c>
    </row>
    <row r="885">
      <c r="C885" t="inlineStr">
        <is>
          <t>27. Reliability||36. Device complexity</t>
        </is>
      </c>
      <c r="D885" t="inlineStr">
        <is>
          <t>13,35,1</t>
        </is>
      </c>
    </row>
    <row r="886">
      <c r="C886" t="inlineStr">
        <is>
          <t>27. Reliability||37. Difficulty of detecting and measuring</t>
        </is>
      </c>
      <c r="D886" t="inlineStr">
        <is>
          <t>27,40,28,8</t>
        </is>
      </c>
    </row>
    <row r="887">
      <c r="C887" t="inlineStr">
        <is>
          <t>27. Reliability||38. Extent of automation</t>
        </is>
      </c>
      <c r="D887" t="inlineStr">
        <is>
          <t>11,13,27</t>
        </is>
      </c>
    </row>
    <row r="888">
      <c r="C888" t="inlineStr">
        <is>
          <t>27. Reliability||39. Productivity</t>
        </is>
      </c>
      <c r="D888" t="inlineStr">
        <is>
          <t>1,35,29,38</t>
        </is>
      </c>
    </row>
    <row r="889">
      <c r="C889" t="inlineStr">
        <is>
          <t>28. Measurement accuracy||1. Weight of moving object</t>
        </is>
      </c>
      <c r="D889" t="inlineStr">
        <is>
          <t>32,35,26,28</t>
        </is>
      </c>
    </row>
    <row r="890">
      <c r="C890" t="inlineStr">
        <is>
          <t>28. Measurement accuracy||2. Weight of stationary object</t>
        </is>
      </c>
      <c r="D890" t="inlineStr">
        <is>
          <t>28,35,25,26</t>
        </is>
      </c>
    </row>
    <row r="891">
      <c r="C891" t="inlineStr">
        <is>
          <t>28. Measurement accuracy||3. Length of moving object</t>
        </is>
      </c>
      <c r="D891" t="inlineStr">
        <is>
          <t>28,26,5,16</t>
        </is>
      </c>
    </row>
    <row r="892">
      <c r="C892" t="inlineStr">
        <is>
          <t>28. Measurement accuracy||4. Length of stationary object</t>
        </is>
      </c>
      <c r="D892" t="inlineStr">
        <is>
          <t>32,28,3,16</t>
        </is>
      </c>
    </row>
    <row r="893">
      <c r="C893" t="inlineStr">
        <is>
          <t>28. Measurement accuracy||5. Area of moving object</t>
        </is>
      </c>
      <c r="D893" t="inlineStr">
        <is>
          <t>26,28,32,3</t>
        </is>
      </c>
    </row>
    <row r="894">
      <c r="C894" t="inlineStr">
        <is>
          <t>28. Measurement accuracy||6. Area of stationary object</t>
        </is>
      </c>
      <c r="D894" t="inlineStr">
        <is>
          <t>26,28,32,3</t>
        </is>
      </c>
    </row>
    <row r="895">
      <c r="C895" t="inlineStr">
        <is>
          <t>28. Measurement accuracy||7. Volume of moving object</t>
        </is>
      </c>
      <c r="D895" t="inlineStr">
        <is>
          <t>32,13,6</t>
        </is>
      </c>
    </row>
    <row r="896">
      <c r="C896" t="inlineStr">
        <is>
          <t>28. Measurement accuracy||8. Volume of stationary object</t>
        </is>
      </c>
      <c r="D896" t="inlineStr">
        <is>
          <t>28,13,32,24</t>
        </is>
      </c>
    </row>
    <row r="897">
      <c r="C897" t="inlineStr">
        <is>
          <t>28. Measurement accuracy||9. Speed</t>
        </is>
      </c>
      <c r="D897" t="inlineStr">
        <is>
          <t>6,28,32</t>
        </is>
      </c>
    </row>
    <row r="898">
      <c r="C898" t="inlineStr">
        <is>
          <t>28. Measurement accuracy||10. Force</t>
        </is>
      </c>
      <c r="D898" t="inlineStr">
        <is>
          <t>6,28,32</t>
        </is>
      </c>
    </row>
    <row r="899">
      <c r="C899" t="inlineStr">
        <is>
          <t>28. Measurement accuracy||11. Stress or pressure</t>
        </is>
      </c>
      <c r="D899" t="inlineStr">
        <is>
          <t>28,6,32</t>
        </is>
      </c>
    </row>
    <row r="900">
      <c r="C900" t="inlineStr">
        <is>
          <t>28. Measurement accuracy||12. Shape</t>
        </is>
      </c>
      <c r="D900" t="inlineStr">
        <is>
          <t>6,28,32</t>
        </is>
      </c>
    </row>
    <row r="901">
      <c r="C901" t="inlineStr">
        <is>
          <t>28. Measurement accuracy||13. Stability of object composition</t>
        </is>
      </c>
      <c r="D901" t="inlineStr">
        <is>
          <t>32,35,13</t>
        </is>
      </c>
    </row>
    <row r="902">
      <c r="C902" t="inlineStr">
        <is>
          <t>28. Measurement accuracy||14. Strength</t>
        </is>
      </c>
      <c r="D902" t="inlineStr">
        <is>
          <t>28,6,32,26</t>
        </is>
      </c>
    </row>
    <row r="903">
      <c r="C903" t="inlineStr">
        <is>
          <t>28. Measurement accuracy||15. Duration of action - moving</t>
        </is>
      </c>
      <c r="D903" t="inlineStr">
        <is>
          <t>28,6,32</t>
        </is>
      </c>
    </row>
    <row r="904">
      <c r="C904" t="inlineStr">
        <is>
          <t>28. Measurement accuracy||16. Duration of action - stationary</t>
        </is>
      </c>
      <c r="D904" t="inlineStr">
        <is>
          <t>10,26,24</t>
        </is>
      </c>
    </row>
    <row r="905">
      <c r="C905" t="inlineStr">
        <is>
          <t>28. Measurement accuracy||17. Temperature</t>
        </is>
      </c>
      <c r="D905" t="inlineStr">
        <is>
          <t>32,35,26,28</t>
        </is>
      </c>
    </row>
    <row r="906">
      <c r="C906" t="inlineStr">
        <is>
          <t>28. Measurement accuracy||18. Illumination intensity</t>
        </is>
      </c>
      <c r="D906" t="inlineStr">
        <is>
          <t>28,32,35,26</t>
        </is>
      </c>
    </row>
    <row r="907">
      <c r="C907" t="inlineStr">
        <is>
          <t>28. Measurement accuracy||19. Use of energy by moving object</t>
        </is>
      </c>
      <c r="D907" t="inlineStr">
        <is>
          <t>28,32,13,18</t>
        </is>
      </c>
    </row>
    <row r="908">
      <c r="C908" t="inlineStr">
        <is>
          <t>28. Measurement accuracy||20. Use of energy by stationary object</t>
        </is>
      </c>
      <c r="D908" t="inlineStr">
        <is>
          <t>32,28,13</t>
        </is>
      </c>
    </row>
    <row r="909">
      <c r="C909" t="inlineStr">
        <is>
          <t>28. Measurement accuracy||21. Power</t>
        </is>
      </c>
      <c r="D909" t="inlineStr">
        <is>
          <t>35,28,2,24</t>
        </is>
      </c>
    </row>
    <row r="910">
      <c r="C910" t="inlineStr">
        <is>
          <t>28. Measurement accuracy||22. Loss of energy</t>
        </is>
      </c>
      <c r="D910" t="inlineStr">
        <is>
          <t>28,6,32,26</t>
        </is>
      </c>
    </row>
    <row r="911">
      <c r="C911" t="inlineStr">
        <is>
          <t>28. Measurement accuracy||23. Loss of substance</t>
        </is>
      </c>
      <c r="D911" t="inlineStr">
        <is>
          <t>28,32,2</t>
        </is>
      </c>
    </row>
    <row r="912">
      <c r="C912" t="inlineStr">
        <is>
          <t>28. Measurement accuracy||24. Loss of information</t>
        </is>
      </c>
      <c r="D912" t="inlineStr">
        <is>
          <t>6,28,32</t>
        </is>
      </c>
    </row>
    <row r="913">
      <c r="C913" t="inlineStr">
        <is>
          <t>28. Measurement accuracy||25. Loss of time</t>
        </is>
      </c>
      <c r="D913" t="inlineStr">
        <is>
          <t>28,32,13,18</t>
        </is>
      </c>
    </row>
    <row r="914">
      <c r="C914" t="inlineStr">
        <is>
          <t>28. Measurement accuracy||26. Amount of substance</t>
        </is>
      </c>
      <c r="D914" t="inlineStr">
        <is>
          <t>28,32,6,26</t>
        </is>
      </c>
    </row>
    <row r="915">
      <c r="C915" t="inlineStr">
        <is>
          <t>28. Measurement accuracy||27. Reliability</t>
        </is>
      </c>
      <c r="D915" t="inlineStr">
        <is>
          <t>28,32,13,26</t>
        </is>
      </c>
    </row>
    <row r="916">
      <c r="C916" t="inlineStr">
        <is>
          <t>28. Measurement accuracy||28. Measurement accuracy</t>
        </is>
      </c>
      <c r="D916" t="inlineStr">
        <is>
          <t>—</t>
        </is>
      </c>
    </row>
    <row r="917">
      <c r="C917" t="inlineStr">
        <is>
          <t>28. Measurement accuracy||29. Manufacturing precision</t>
        </is>
      </c>
      <c r="D917" t="inlineStr">
        <is>
          <t>25,28,35,26</t>
        </is>
      </c>
    </row>
    <row r="918">
      <c r="C918" t="inlineStr">
        <is>
          <t>28. Measurement accuracy||30. Object-generated harmful effects</t>
        </is>
      </c>
      <c r="D918" t="inlineStr">
        <is>
          <t>28,35,10,23</t>
        </is>
      </c>
    </row>
    <row r="919">
      <c r="C919" t="inlineStr">
        <is>
          <t>28. Measurement accuracy||31. Harmful side effects</t>
        </is>
      </c>
      <c r="D919" t="inlineStr">
        <is>
          <t>28,35,10,23</t>
        </is>
      </c>
    </row>
    <row r="920">
      <c r="C920" t="inlineStr">
        <is>
          <t>28. Measurement accuracy||32. Ease of manufacture</t>
        </is>
      </c>
      <c r="D920" t="inlineStr">
        <is>
          <t>4,28,10,34</t>
        </is>
      </c>
    </row>
    <row r="921">
      <c r="C921" t="inlineStr">
        <is>
          <t>28. Measurement accuracy||33. Ease of operation</t>
        </is>
      </c>
      <c r="D921" t="inlineStr">
        <is>
          <t>28,6,32,24</t>
        </is>
      </c>
    </row>
    <row r="922">
      <c r="C922" t="inlineStr">
        <is>
          <t>28. Measurement accuracy||34. Ease of repair</t>
        </is>
      </c>
      <c r="D922" t="inlineStr">
        <is>
          <t>32,35,26,28</t>
        </is>
      </c>
    </row>
    <row r="923">
      <c r="C923" t="inlineStr">
        <is>
          <t>28. Measurement accuracy||35. Adaptability or versatility</t>
        </is>
      </c>
      <c r="D923" t="inlineStr">
        <is>
          <t>28,35,10,16</t>
        </is>
      </c>
    </row>
    <row r="924">
      <c r="C924" t="inlineStr">
        <is>
          <t>28. Measurement accuracy||36. Device complexity</t>
        </is>
      </c>
      <c r="D924" t="inlineStr">
        <is>
          <t>6,19,28,24</t>
        </is>
      </c>
    </row>
    <row r="925">
      <c r="C925" t="inlineStr">
        <is>
          <t>28. Measurement accuracy||37. Difficulty of detecting and measuring</t>
        </is>
      </c>
      <c r="D925" t="inlineStr">
        <is>
          <t>1,6,13,32</t>
        </is>
      </c>
    </row>
    <row r="926">
      <c r="C926" t="inlineStr">
        <is>
          <t>28. Measurement accuracy||38. Extent of automation</t>
        </is>
      </c>
      <c r="D926" t="inlineStr">
        <is>
          <t>28,35,15</t>
        </is>
      </c>
    </row>
    <row r="927">
      <c r="C927" t="inlineStr">
        <is>
          <t>28. Measurement accuracy||39. Productivity</t>
        </is>
      </c>
      <c r="D927" t="inlineStr">
        <is>
          <t>32,13,6</t>
        </is>
      </c>
    </row>
    <row r="928">
      <c r="C928" t="inlineStr">
        <is>
          <t>29. Manufacturing precision||1. Weight of moving object</t>
        </is>
      </c>
      <c r="D928" t="inlineStr">
        <is>
          <t>28,32,13,18</t>
        </is>
      </c>
    </row>
    <row r="929">
      <c r="C929" t="inlineStr">
        <is>
          <t>29. Manufacturing precision||2. Weight of stationary object</t>
        </is>
      </c>
      <c r="D929" t="inlineStr">
        <is>
          <t>28,35,27,9</t>
        </is>
      </c>
    </row>
    <row r="930">
      <c r="C930" t="inlineStr">
        <is>
          <t>29. Manufacturing precision||3. Length of moving object</t>
        </is>
      </c>
      <c r="D930" t="inlineStr">
        <is>
          <t>10,28,29,37</t>
        </is>
      </c>
    </row>
    <row r="931">
      <c r="C931" t="inlineStr">
        <is>
          <t>29. Manufacturing precision||4. Length of stationary object</t>
        </is>
      </c>
      <c r="D931" t="inlineStr">
        <is>
          <t>2,32,10</t>
        </is>
      </c>
    </row>
    <row r="932">
      <c r="C932" t="inlineStr">
        <is>
          <t>29. Manufacturing precision||5. Area of moving object</t>
        </is>
      </c>
      <c r="D932" t="inlineStr">
        <is>
          <t>28,33,29,32</t>
        </is>
      </c>
    </row>
    <row r="933">
      <c r="C933" t="inlineStr">
        <is>
          <t>29. Manufacturing precision||6. Area of stationary object</t>
        </is>
      </c>
      <c r="D933" t="inlineStr">
        <is>
          <t>2,29,18,36</t>
        </is>
      </c>
    </row>
    <row r="934">
      <c r="C934" t="inlineStr">
        <is>
          <t>29. Manufacturing precision||7. Volume of moving object</t>
        </is>
      </c>
      <c r="D934" t="inlineStr">
        <is>
          <t>32,28,3,16</t>
        </is>
      </c>
    </row>
    <row r="935">
      <c r="C935" t="inlineStr">
        <is>
          <t>29. Manufacturing precision||8. Volume of stationary object</t>
        </is>
      </c>
      <c r="D935" t="inlineStr">
        <is>
          <t>28,13,32,24</t>
        </is>
      </c>
    </row>
    <row r="936">
      <c r="C936" t="inlineStr">
        <is>
          <t>29. Manufacturing precision||9. Speed</t>
        </is>
      </c>
      <c r="D936" t="inlineStr">
        <is>
          <t>10,28,32,25</t>
        </is>
      </c>
    </row>
    <row r="937">
      <c r="C937" t="inlineStr">
        <is>
          <t>29. Manufacturing precision||10. Force</t>
        </is>
      </c>
      <c r="D937" t="inlineStr">
        <is>
          <t>28,19,34,36</t>
        </is>
      </c>
    </row>
    <row r="938">
      <c r="C938" t="inlineStr">
        <is>
          <t>29. Manufacturing precision||11. Stress or pressure</t>
        </is>
      </c>
      <c r="D938" t="inlineStr">
        <is>
          <t>3,35,40,10</t>
        </is>
      </c>
    </row>
    <row r="939">
      <c r="C939" t="inlineStr">
        <is>
          <t>29. Manufacturing precision||12. Shape</t>
        </is>
      </c>
      <c r="D939" t="inlineStr">
        <is>
          <t>32,30,40</t>
        </is>
      </c>
    </row>
    <row r="940">
      <c r="C940" t="inlineStr">
        <is>
          <t>29. Manufacturing precision||13. Stability of object composition</t>
        </is>
      </c>
      <c r="D940" t="inlineStr">
        <is>
          <t>30,18</t>
        </is>
      </c>
    </row>
    <row r="941">
      <c r="C941" t="inlineStr">
        <is>
          <t>29. Manufacturing precision||14. Strength</t>
        </is>
      </c>
      <c r="D941" t="inlineStr">
        <is>
          <t>3,27</t>
        </is>
      </c>
    </row>
    <row r="942">
      <c r="C942" t="inlineStr">
        <is>
          <t>29. Manufacturing precision||15. Duration of action - moving</t>
        </is>
      </c>
      <c r="D942" t="inlineStr">
        <is>
          <t>3,27,40</t>
        </is>
      </c>
    </row>
    <row r="943">
      <c r="C943" t="inlineStr">
        <is>
          <t>29. Manufacturing precision||17. Temperature</t>
        </is>
      </c>
      <c r="D943" t="inlineStr">
        <is>
          <t>35,19,32,24</t>
        </is>
      </c>
    </row>
    <row r="944">
      <c r="C944" t="inlineStr">
        <is>
          <t>29. Manufacturing precision||18. Illumination intensity</t>
        </is>
      </c>
      <c r="D944" t="inlineStr">
        <is>
          <t>19,35,28,26</t>
        </is>
      </c>
    </row>
    <row r="945">
      <c r="C945" t="inlineStr">
        <is>
          <t>29. Manufacturing precision||19. Use of energy by moving object</t>
        </is>
      </c>
      <c r="D945" t="inlineStr">
        <is>
          <t>10,13,19,35</t>
        </is>
      </c>
    </row>
    <row r="946">
      <c r="C946" t="inlineStr">
        <is>
          <t>29. Manufacturing precision||20. Use of energy by stationary object</t>
        </is>
      </c>
      <c r="D946" t="inlineStr">
        <is>
          <t>35,10,25,28</t>
        </is>
      </c>
    </row>
    <row r="947">
      <c r="C947" t="inlineStr">
        <is>
          <t>29. Manufacturing precision||21. Power</t>
        </is>
      </c>
      <c r="D947" t="inlineStr">
        <is>
          <t>10,28,32</t>
        </is>
      </c>
    </row>
    <row r="948">
      <c r="C948" t="inlineStr">
        <is>
          <t>29. Manufacturing precision||22. Loss of energy</t>
        </is>
      </c>
      <c r="D948" t="inlineStr">
        <is>
          <t>11,3,10,32</t>
        </is>
      </c>
    </row>
    <row r="949">
      <c r="C949" t="inlineStr">
        <is>
          <t>29. Manufacturing precision||23. Loss of substance</t>
        </is>
      </c>
      <c r="D949" t="inlineStr">
        <is>
          <t>3,10,25,28</t>
        </is>
      </c>
    </row>
    <row r="950">
      <c r="C950" t="inlineStr">
        <is>
          <t>29. Manufacturing precision||24. Loss of information</t>
        </is>
      </c>
      <c r="D950" t="inlineStr">
        <is>
          <t>10,28,23</t>
        </is>
      </c>
    </row>
    <row r="951">
      <c r="C951" t="inlineStr">
        <is>
          <t>29. Manufacturing precision||25. Loss of time</t>
        </is>
      </c>
      <c r="D951" t="inlineStr">
        <is>
          <t>4,28,10,34</t>
        </is>
      </c>
    </row>
    <row r="952">
      <c r="C952" t="inlineStr">
        <is>
          <t>29. Manufacturing precision||26. Amount of substance</t>
        </is>
      </c>
      <c r="D952" t="inlineStr">
        <is>
          <t>10,3,28,24</t>
        </is>
      </c>
    </row>
    <row r="953">
      <c r="C953" t="inlineStr">
        <is>
          <t>29. Manufacturing precision||27. Reliability</t>
        </is>
      </c>
      <c r="D953" t="inlineStr">
        <is>
          <t>28,27,15,3</t>
        </is>
      </c>
    </row>
    <row r="954">
      <c r="C954" t="inlineStr">
        <is>
          <t>29. Manufacturing precision||28. Measurement accuracy</t>
        </is>
      </c>
      <c r="D954" t="inlineStr">
        <is>
          <t>25,28,35,26</t>
        </is>
      </c>
    </row>
    <row r="955">
      <c r="C955" t="inlineStr">
        <is>
          <t>29. Manufacturing precision||29. Manufacturing precision</t>
        </is>
      </c>
      <c r="D955" t="inlineStr">
        <is>
          <t>—</t>
        </is>
      </c>
    </row>
    <row r="956">
      <c r="C956" t="inlineStr">
        <is>
          <t>29. Manufacturing precision||30. Object-generated harmful effects</t>
        </is>
      </c>
      <c r="D956" t="inlineStr">
        <is>
          <t>35,10,2,16</t>
        </is>
      </c>
    </row>
    <row r="957">
      <c r="C957" t="inlineStr">
        <is>
          <t>29. Manufacturing precision||31. Harmful side effects</t>
        </is>
      </c>
      <c r="D957" t="inlineStr">
        <is>
          <t>35,10,25,16</t>
        </is>
      </c>
    </row>
    <row r="958">
      <c r="C958" t="inlineStr">
        <is>
          <t>29. Manufacturing precision||32. Ease of manufacture</t>
        </is>
      </c>
      <c r="D958" t="inlineStr">
        <is>
          <t>2,35,10,16</t>
        </is>
      </c>
    </row>
    <row r="959">
      <c r="C959" t="inlineStr">
        <is>
          <t>29. Manufacturing precision||33. Ease of operation</t>
        </is>
      </c>
      <c r="D959" t="inlineStr">
        <is>
          <t>35,10,25</t>
        </is>
      </c>
    </row>
    <row r="960">
      <c r="C960" t="inlineStr">
        <is>
          <t>29. Manufacturing precision||34. Ease of repair</t>
        </is>
      </c>
      <c r="D960" t="inlineStr">
        <is>
          <t>28,35,10</t>
        </is>
      </c>
    </row>
    <row r="961">
      <c r="C961" t="inlineStr">
        <is>
          <t>29. Manufacturing precision||35. Adaptability or versatility</t>
        </is>
      </c>
      <c r="D961" t="inlineStr">
        <is>
          <t>13,35,2</t>
        </is>
      </c>
    </row>
    <row r="962">
      <c r="C962" t="inlineStr">
        <is>
          <t>29. Manufacturing precision||36. Device complexity</t>
        </is>
      </c>
      <c r="D962" t="inlineStr">
        <is>
          <t>28,6,13</t>
        </is>
      </c>
    </row>
    <row r="963">
      <c r="C963" t="inlineStr">
        <is>
          <t>29. Manufacturing precision||37. Difficulty of detecting and measuring</t>
        </is>
      </c>
      <c r="D963" t="inlineStr">
        <is>
          <t>6,28,13,32</t>
        </is>
      </c>
    </row>
    <row r="964">
      <c r="C964" t="inlineStr">
        <is>
          <t>29. Manufacturing precision||38. Extent of automation</t>
        </is>
      </c>
      <c r="D964" t="inlineStr">
        <is>
          <t>32,35,13</t>
        </is>
      </c>
    </row>
    <row r="965">
      <c r="C965" t="inlineStr">
        <is>
          <t>29. Manufacturing precision||39. Productivity</t>
        </is>
      </c>
      <c r="D965" t="inlineStr">
        <is>
          <t>35,28,2,24</t>
        </is>
      </c>
    </row>
    <row r="966">
      <c r="C966" t="inlineStr">
        <is>
          <t>30. Object-generated harmful effects||1. Weight of moving object</t>
        </is>
      </c>
      <c r="D966" t="inlineStr">
        <is>
          <t>22,21,27,39</t>
        </is>
      </c>
    </row>
    <row r="967">
      <c r="C967" t="inlineStr">
        <is>
          <t>30. Object-generated harmful effects||2. Weight of stationary object</t>
        </is>
      </c>
      <c r="D967" t="inlineStr">
        <is>
          <t>2,22,13,24</t>
        </is>
      </c>
    </row>
    <row r="968">
      <c r="C968" t="inlineStr">
        <is>
          <t>30. Object-generated harmful effects||3. Length of moving object</t>
        </is>
      </c>
      <c r="D968" t="inlineStr">
        <is>
          <t>17,1,39,4</t>
        </is>
      </c>
    </row>
    <row r="969">
      <c r="C969" t="inlineStr">
        <is>
          <t>30. Object-generated harmful effects||4. Length of stationary object</t>
        </is>
      </c>
      <c r="D969" t="inlineStr">
        <is>
          <t>1,18,35,36</t>
        </is>
      </c>
    </row>
    <row r="970">
      <c r="C970" t="inlineStr">
        <is>
          <t>30. Object-generated harmful effects||5. Area of moving object</t>
        </is>
      </c>
      <c r="D970" t="inlineStr">
        <is>
          <t>22,1,18,4</t>
        </is>
      </c>
    </row>
    <row r="971">
      <c r="C971" t="inlineStr">
        <is>
          <t>30. Object-generated harmful effects||6. Area of stationary object</t>
        </is>
      </c>
      <c r="D971" t="inlineStr">
        <is>
          <t>27,2,39,35</t>
        </is>
      </c>
    </row>
    <row r="972">
      <c r="C972" t="inlineStr">
        <is>
          <t>30. Object-generated harmful effects||7. Volume of moving object</t>
        </is>
      </c>
      <c r="D972" t="inlineStr">
        <is>
          <t>22,23,37,35</t>
        </is>
      </c>
    </row>
    <row r="973">
      <c r="C973" t="inlineStr">
        <is>
          <t>30. Object-generated harmful effects||8. Volume of stationary object</t>
        </is>
      </c>
      <c r="D973" t="inlineStr">
        <is>
          <t>34,39,19,27</t>
        </is>
      </c>
    </row>
    <row r="974">
      <c r="C974" t="inlineStr">
        <is>
          <t>30. Object-generated harmful effects||9. Speed</t>
        </is>
      </c>
      <c r="D974" t="inlineStr">
        <is>
          <t>21,22,35,28</t>
        </is>
      </c>
    </row>
    <row r="975">
      <c r="C975" t="inlineStr">
        <is>
          <t>30. Object-generated harmful effects||10. Force</t>
        </is>
      </c>
      <c r="D975" t="inlineStr">
        <is>
          <t>10,1,34,29</t>
        </is>
      </c>
    </row>
    <row r="976">
      <c r="C976" t="inlineStr">
        <is>
          <t>30. Object-generated harmful effects||11. Stress or pressure</t>
        </is>
      </c>
      <c r="D976" t="inlineStr">
        <is>
          <t>10,21,29,40</t>
        </is>
      </c>
    </row>
    <row r="977">
      <c r="C977" t="inlineStr">
        <is>
          <t>30. Object-generated harmful effects||12. Shape</t>
        </is>
      </c>
      <c r="D977" t="inlineStr">
        <is>
          <t>1,22,4</t>
        </is>
      </c>
    </row>
    <row r="978">
      <c r="C978" t="inlineStr">
        <is>
          <t>30. Object-generated harmful effects||13. Stability of object composition</t>
        </is>
      </c>
      <c r="D978" t="inlineStr">
        <is>
          <t>33,22,19,40</t>
        </is>
      </c>
    </row>
    <row r="979">
      <c r="C979" t="inlineStr">
        <is>
          <t>30. Object-generated harmful effects||14. Strength</t>
        </is>
      </c>
      <c r="D979" t="inlineStr">
        <is>
          <t>10,1,29,35</t>
        </is>
      </c>
    </row>
    <row r="980">
      <c r="C980" t="inlineStr">
        <is>
          <t>30. Object-generated harmful effects||15. Duration of action - moving</t>
        </is>
      </c>
      <c r="D980" t="inlineStr">
        <is>
          <t>11,29,28,27</t>
        </is>
      </c>
    </row>
    <row r="981">
      <c r="C981" t="inlineStr">
        <is>
          <t>30. Object-generated harmful effects||16. Duration of action - stationary</t>
        </is>
      </c>
      <c r="D981" t="inlineStr">
        <is>
          <t>35,27,2,40</t>
        </is>
      </c>
    </row>
    <row r="982">
      <c r="C982" t="inlineStr">
        <is>
          <t>30. Object-generated harmful effects||17. Temperature</t>
        </is>
      </c>
      <c r="D982" t="inlineStr">
        <is>
          <t>35,2,40,26</t>
        </is>
      </c>
    </row>
    <row r="983">
      <c r="C983" t="inlineStr">
        <is>
          <t>30. Object-generated harmful effects||18. Illumination intensity</t>
        </is>
      </c>
      <c r="D983" t="inlineStr">
        <is>
          <t>35,10,3,21</t>
        </is>
      </c>
    </row>
    <row r="984">
      <c r="C984" t="inlineStr">
        <is>
          <t>30. Object-generated harmful effects||19. Use of energy by moving object</t>
        </is>
      </c>
      <c r="D984" t="inlineStr">
        <is>
          <t>22,10,35</t>
        </is>
      </c>
    </row>
    <row r="985">
      <c r="C985" t="inlineStr">
        <is>
          <t>30. Object-generated harmful effects||20. Use of energy by stationary object</t>
        </is>
      </c>
      <c r="D985" t="inlineStr">
        <is>
          <t>22,19,29,40</t>
        </is>
      </c>
    </row>
    <row r="986">
      <c r="C986" t="inlineStr">
        <is>
          <t>30. Object-generated harmful effects||21. Power</t>
        </is>
      </c>
      <c r="D986" t="inlineStr">
        <is>
          <t>33,3,34</t>
        </is>
      </c>
    </row>
    <row r="987">
      <c r="C987" t="inlineStr">
        <is>
          <t>30. Object-generated harmful effects||22. Loss of energy</t>
        </is>
      </c>
      <c r="D987" t="inlineStr">
        <is>
          <t>22,35,13,24</t>
        </is>
      </c>
    </row>
    <row r="988">
      <c r="C988" t="inlineStr">
        <is>
          <t>30. Object-generated harmful effects||23. Loss of substance</t>
        </is>
      </c>
      <c r="D988" t="inlineStr">
        <is>
          <t>10,2,22,37</t>
        </is>
      </c>
    </row>
    <row r="989">
      <c r="C989" t="inlineStr">
        <is>
          <t>30. Object-generated harmful effects||24. Loss of information</t>
        </is>
      </c>
      <c r="D989" t="inlineStr">
        <is>
          <t>10,19,2,35</t>
        </is>
      </c>
    </row>
    <row r="990">
      <c r="C990" t="inlineStr">
        <is>
          <t>30. Object-generated harmful effects||25. Loss of time</t>
        </is>
      </c>
      <c r="D990" t="inlineStr">
        <is>
          <t>32,1,19</t>
        </is>
      </c>
    </row>
    <row r="991">
      <c r="C991" t="inlineStr">
        <is>
          <t>30. Object-generated harmful effects||26. Amount of substance</t>
        </is>
      </c>
      <c r="D991" t="inlineStr">
        <is>
          <t>1,24,6,27</t>
        </is>
      </c>
    </row>
    <row r="992">
      <c r="C992" t="inlineStr">
        <is>
          <t>30. Object-generated harmful effects||27. Reliability</t>
        </is>
      </c>
      <c r="D992" t="inlineStr">
        <is>
          <t>10,2,22,37</t>
        </is>
      </c>
    </row>
    <row r="993">
      <c r="C993" t="inlineStr">
        <is>
          <t>30. Object-generated harmful effects||28. Measurement accuracy</t>
        </is>
      </c>
      <c r="D993" t="inlineStr">
        <is>
          <t>19,22,18</t>
        </is>
      </c>
    </row>
    <row r="994">
      <c r="C994" t="inlineStr">
        <is>
          <t>30. Object-generated harmful effects||29. Manufacturing precision</t>
        </is>
      </c>
      <c r="D994" t="inlineStr">
        <is>
          <t>35,10,2,18</t>
        </is>
      </c>
    </row>
    <row r="995">
      <c r="C995" t="inlineStr">
        <is>
          <t>30. Object-generated harmful effects||30. Object-generated harmful effects</t>
        </is>
      </c>
      <c r="D995" t="inlineStr">
        <is>
          <t>—</t>
        </is>
      </c>
    </row>
    <row r="996">
      <c r="C996" t="inlineStr">
        <is>
          <t>30. Object-generated harmful effects||31. Harmful side effects</t>
        </is>
      </c>
      <c r="D996" t="inlineStr">
        <is>
          <t>24,30,22,40</t>
        </is>
      </c>
    </row>
    <row r="997">
      <c r="C997" t="inlineStr">
        <is>
          <t>30. Object-generated harmful effects||32. Ease of manufacture</t>
        </is>
      </c>
      <c r="D997" t="inlineStr">
        <is>
          <t>10,35,13,2</t>
        </is>
      </c>
    </row>
    <row r="998">
      <c r="C998" t="inlineStr">
        <is>
          <t>30. Object-generated harmful effects||33. Ease of operation</t>
        </is>
      </c>
      <c r="D998" t="inlineStr">
        <is>
          <t>35,11,22,31</t>
        </is>
      </c>
    </row>
    <row r="999">
      <c r="C999" t="inlineStr">
        <is>
          <t>30. Object-generated harmful effects||34. Ease of repair</t>
        </is>
      </c>
      <c r="D999" t="inlineStr">
        <is>
          <t>1,35,29,2</t>
        </is>
      </c>
    </row>
    <row r="1000">
      <c r="C1000" t="inlineStr">
        <is>
          <t>30. Object-generated harmful effects||35. Adaptability or versatility</t>
        </is>
      </c>
      <c r="D1000" t="inlineStr">
        <is>
          <t>10,30,4</t>
        </is>
      </c>
    </row>
    <row r="1001">
      <c r="C1001" t="inlineStr">
        <is>
          <t>30. Object-generated harmful effects||36. Device complexity</t>
        </is>
      </c>
      <c r="D1001" t="inlineStr">
        <is>
          <t>14,24,10,37</t>
        </is>
      </c>
    </row>
    <row r="1002">
      <c r="C1002" t="inlineStr">
        <is>
          <t>30. Object-generated harmful effects||37. Difficulty of detecting and measuring</t>
        </is>
      </c>
      <c r="D1002" t="inlineStr">
        <is>
          <t>35,18,27,2</t>
        </is>
      </c>
    </row>
    <row r="1003">
      <c r="C1003" t="inlineStr">
        <is>
          <t>30. Object-generated harmful effects||38. Extent of automation</t>
        </is>
      </c>
      <c r="D1003" t="inlineStr">
        <is>
          <t>1,22,35,28</t>
        </is>
      </c>
    </row>
    <row r="1004">
      <c r="C1004" t="inlineStr">
        <is>
          <t>30. Object-generated harmful effects||39. Productivity</t>
        </is>
      </c>
      <c r="D1004" t="inlineStr">
        <is>
          <t>10,2,13,19</t>
        </is>
      </c>
    </row>
    <row r="1005">
      <c r="C1005" t="inlineStr">
        <is>
          <t>31. Harmful side effects||1. Weight of moving object</t>
        </is>
      </c>
      <c r="D1005" t="inlineStr">
        <is>
          <t>19,22,15,39</t>
        </is>
      </c>
    </row>
    <row r="1006">
      <c r="C1006" t="inlineStr">
        <is>
          <t>31. Harmful side effects||2. Weight of stationary object</t>
        </is>
      </c>
      <c r="D1006" t="inlineStr">
        <is>
          <t>35,22,1,39</t>
        </is>
      </c>
    </row>
    <row r="1007">
      <c r="C1007" t="inlineStr">
        <is>
          <t>31. Harmful side effects||3. Length of moving object</t>
        </is>
      </c>
      <c r="D1007" t="inlineStr">
        <is>
          <t>17,15,16,22</t>
        </is>
      </c>
    </row>
    <row r="1008">
      <c r="C1008" t="inlineStr">
        <is>
          <t>31. Harmful side effects||4. Length of stationary object</t>
        </is>
      </c>
      <c r="D1008" t="inlineStr">
        <is>
          <t>17,2,18,39</t>
        </is>
      </c>
    </row>
    <row r="1009">
      <c r="C1009" t="inlineStr">
        <is>
          <t>31. Harmful side effects||5. Area of moving object</t>
        </is>
      </c>
      <c r="D1009" t="inlineStr">
        <is>
          <t>22,1,40</t>
        </is>
      </c>
    </row>
    <row r="1010">
      <c r="C1010" t="inlineStr">
        <is>
          <t>31. Harmful side effects||6. Area of stationary object</t>
        </is>
      </c>
      <c r="D1010" t="inlineStr">
        <is>
          <t>17,2,40</t>
        </is>
      </c>
    </row>
    <row r="1011">
      <c r="C1011" t="inlineStr">
        <is>
          <t>31. Harmful side effects||7. Volume of moving object</t>
        </is>
      </c>
      <c r="D1011" t="inlineStr">
        <is>
          <t>30,18,35,4</t>
        </is>
      </c>
    </row>
    <row r="1012">
      <c r="C1012" t="inlineStr">
        <is>
          <t>31. Harmful side effects||8. Volume of stationary object</t>
        </is>
      </c>
      <c r="D1012" t="inlineStr">
        <is>
          <t>35,28,3,23</t>
        </is>
      </c>
    </row>
    <row r="1013">
      <c r="C1013" t="inlineStr">
        <is>
          <t>31. Harmful side effects||9. Speed</t>
        </is>
      </c>
      <c r="D1013" t="inlineStr">
        <is>
          <t>35,28,2,24</t>
        </is>
      </c>
    </row>
    <row r="1014">
      <c r="C1014" t="inlineStr">
        <is>
          <t>31. Harmful side effects||10. Force</t>
        </is>
      </c>
      <c r="D1014" t="inlineStr">
        <is>
          <t>35,28,10,40</t>
        </is>
      </c>
    </row>
    <row r="1015">
      <c r="C1015" t="inlineStr">
        <is>
          <t>31. Harmful side effects||11. Stress or pressure</t>
        </is>
      </c>
      <c r="D1015" t="inlineStr">
        <is>
          <t>33,28,18,4</t>
        </is>
      </c>
    </row>
    <row r="1016">
      <c r="C1016" t="inlineStr">
        <is>
          <t>31. Harmful side effects||12. Shape</t>
        </is>
      </c>
      <c r="D1016" t="inlineStr">
        <is>
          <t>22,1,18,4</t>
        </is>
      </c>
    </row>
    <row r="1017">
      <c r="C1017" t="inlineStr">
        <is>
          <t>31. Harmful side effects||13. Stability of object composition</t>
        </is>
      </c>
      <c r="D1017" t="inlineStr">
        <is>
          <t>35,40,10,27</t>
        </is>
      </c>
    </row>
    <row r="1018">
      <c r="C1018" t="inlineStr">
        <is>
          <t>31. Harmful side effects||14. Strength</t>
        </is>
      </c>
      <c r="D1018" t="inlineStr">
        <is>
          <t>15,35,22,2</t>
        </is>
      </c>
    </row>
    <row r="1019">
      <c r="C1019" t="inlineStr">
        <is>
          <t>31. Harmful side effects||15. Duration of action - moving</t>
        </is>
      </c>
      <c r="D1019" t="inlineStr">
        <is>
          <t>15,22,33,31</t>
        </is>
      </c>
    </row>
    <row r="1020">
      <c r="C1020" t="inlineStr">
        <is>
          <t>31. Harmful side effects||16. Duration of action - stationary</t>
        </is>
      </c>
      <c r="D1020" t="inlineStr">
        <is>
          <t>21,39,16,22</t>
        </is>
      </c>
    </row>
    <row r="1021">
      <c r="C1021" t="inlineStr">
        <is>
          <t>31. Harmful side effects||17. Temperature</t>
        </is>
      </c>
      <c r="D1021" t="inlineStr">
        <is>
          <t>22,35,18,39</t>
        </is>
      </c>
    </row>
    <row r="1022">
      <c r="C1022" t="inlineStr">
        <is>
          <t>31. Harmful side effects||18. Illumination intensity</t>
        </is>
      </c>
      <c r="D1022" t="inlineStr">
        <is>
          <t>22,35,31,24</t>
        </is>
      </c>
    </row>
    <row r="1023">
      <c r="C1023" t="inlineStr">
        <is>
          <t>31. Harmful side effects||19. Use of energy by moving object</t>
        </is>
      </c>
      <c r="D1023" t="inlineStr">
        <is>
          <t>17,1,40,33</t>
        </is>
      </c>
    </row>
    <row r="1024">
      <c r="C1024" t="inlineStr">
        <is>
          <t>31. Harmful side effects||20. Use of energy by stationary object</t>
        </is>
      </c>
      <c r="D1024" t="inlineStr">
        <is>
          <t>22,19,29,28</t>
        </is>
      </c>
    </row>
    <row r="1025">
      <c r="C1025" t="inlineStr">
        <is>
          <t>31. Harmful side effects||21. Power</t>
        </is>
      </c>
      <c r="D1025" t="inlineStr">
        <is>
          <t>33,3,34</t>
        </is>
      </c>
    </row>
    <row r="1026">
      <c r="C1026" t="inlineStr">
        <is>
          <t>31. Harmful side effects||22. Loss of energy</t>
        </is>
      </c>
      <c r="D1026" t="inlineStr">
        <is>
          <t>22,35,2,24</t>
        </is>
      </c>
    </row>
    <row r="1027">
      <c r="C1027" t="inlineStr">
        <is>
          <t>31. Harmful side effects||23. Loss of substance</t>
        </is>
      </c>
      <c r="D1027" t="inlineStr">
        <is>
          <t>1,35,32</t>
        </is>
      </c>
    </row>
    <row r="1028">
      <c r="C1028" t="inlineStr">
        <is>
          <t>31. Harmful side effects||24. Loss of information</t>
        </is>
      </c>
      <c r="D1028" t="inlineStr">
        <is>
          <t>19,10,3,28</t>
        </is>
      </c>
    </row>
    <row r="1029">
      <c r="C1029" t="inlineStr">
        <is>
          <t>31. Harmful side effects||25. Loss of time</t>
        </is>
      </c>
      <c r="D1029" t="inlineStr">
        <is>
          <t>35,28,34,18</t>
        </is>
      </c>
    </row>
    <row r="1030">
      <c r="C1030" t="inlineStr">
        <is>
          <t>31. Harmful side effects||26. Amount of substance</t>
        </is>
      </c>
      <c r="D1030" t="inlineStr">
        <is>
          <t>3,35,40,39</t>
        </is>
      </c>
    </row>
    <row r="1031">
      <c r="C1031" t="inlineStr">
        <is>
          <t>31. Harmful side effects||27. Reliability</t>
        </is>
      </c>
      <c r="D1031" t="inlineStr">
        <is>
          <t>29,3,28,18</t>
        </is>
      </c>
    </row>
    <row r="1032">
      <c r="C1032" t="inlineStr">
        <is>
          <t>31. Harmful side effects||28. Measurement accuracy</t>
        </is>
      </c>
      <c r="D1032" t="inlineStr">
        <is>
          <t>32,3,27,16</t>
        </is>
      </c>
    </row>
    <row r="1033">
      <c r="C1033" t="inlineStr">
        <is>
          <t>31. Harmful side effects||29. Manufacturing precision</t>
        </is>
      </c>
      <c r="D1033" t="inlineStr">
        <is>
          <t>3,27,35</t>
        </is>
      </c>
    </row>
    <row r="1034">
      <c r="C1034" t="inlineStr">
        <is>
          <t>31. Harmful side effects||30. Object-generated harmful effects</t>
        </is>
      </c>
      <c r="D1034" t="inlineStr">
        <is>
          <t>24,30,22,40</t>
        </is>
      </c>
    </row>
    <row r="1035">
      <c r="C1035" t="inlineStr">
        <is>
          <t>31. Harmful side effects||31. Harmful side effects</t>
        </is>
      </c>
      <c r="D1035" t="inlineStr">
        <is>
          <t>—</t>
        </is>
      </c>
    </row>
    <row r="1036">
      <c r="C1036" t="inlineStr">
        <is>
          <t>31. Harmful side effects||32. Ease of manufacture</t>
        </is>
      </c>
      <c r="D1036" t="inlineStr">
        <is>
          <t>18,35,37,1</t>
        </is>
      </c>
    </row>
    <row r="1037">
      <c r="C1037" t="inlineStr">
        <is>
          <t>31. Harmful side effects||33. Ease of operation</t>
        </is>
      </c>
      <c r="D1037" t="inlineStr">
        <is>
          <t>22,15,33,28</t>
        </is>
      </c>
    </row>
    <row r="1038">
      <c r="C1038" t="inlineStr">
        <is>
          <t>31. Harmful side effects||34. Ease of repair</t>
        </is>
      </c>
      <c r="D1038" t="inlineStr">
        <is>
          <t>17,1,40,24</t>
        </is>
      </c>
    </row>
    <row r="1039">
      <c r="C1039" t="inlineStr">
        <is>
          <t>31. Harmful side effects||35. Adaptability or versatility</t>
        </is>
      </c>
      <c r="D1039" t="inlineStr">
        <is>
          <t>22,33,35,2</t>
        </is>
      </c>
    </row>
    <row r="1040">
      <c r="C1040" t="inlineStr">
        <is>
          <t>31. Harmful side effects||36. Device complexity</t>
        </is>
      </c>
      <c r="D1040" t="inlineStr">
        <is>
          <t>1,19,32,13</t>
        </is>
      </c>
    </row>
    <row r="1041">
      <c r="C1041" t="inlineStr">
        <is>
          <t>31. Harmful side effects||37. Difficulty of detecting and measuring</t>
        </is>
      </c>
      <c r="D1041" t="inlineStr">
        <is>
          <t>1,3,10,32</t>
        </is>
      </c>
    </row>
    <row r="1042">
      <c r="C1042" t="inlineStr">
        <is>
          <t>31. Harmful side effects||38. Extent of automation</t>
        </is>
      </c>
      <c r="D1042" t="inlineStr">
        <is>
          <t>1,24,6,27</t>
        </is>
      </c>
    </row>
    <row r="1043">
      <c r="C1043" t="inlineStr">
        <is>
          <t>31. Harmful side effects||39. Productivity</t>
        </is>
      </c>
      <c r="D1043" t="inlineStr">
        <is>
          <t>10,2,22,37</t>
        </is>
      </c>
    </row>
    <row r="1044">
      <c r="C1044" t="inlineStr">
        <is>
          <t>32. Ease of manufacture||1. Weight of moving object</t>
        </is>
      </c>
      <c r="D1044" t="inlineStr">
        <is>
          <t>28,29,15,16</t>
        </is>
      </c>
    </row>
    <row r="1045">
      <c r="C1045" t="inlineStr">
        <is>
          <t>32. Ease of manufacture||2. Weight of stationary object</t>
        </is>
      </c>
      <c r="D1045" t="inlineStr">
        <is>
          <t>1,27,36,13</t>
        </is>
      </c>
    </row>
    <row r="1046">
      <c r="C1046" t="inlineStr">
        <is>
          <t>32. Ease of manufacture||3. Length of moving object</t>
        </is>
      </c>
      <c r="D1046" t="inlineStr">
        <is>
          <t>1,10,35,37</t>
        </is>
      </c>
    </row>
    <row r="1047">
      <c r="C1047" t="inlineStr">
        <is>
          <t>32. Ease of manufacture||4. Length of stationary object</t>
        </is>
      </c>
      <c r="D1047" t="inlineStr">
        <is>
          <t>1,35,16</t>
        </is>
      </c>
    </row>
    <row r="1048">
      <c r="C1048" t="inlineStr">
        <is>
          <t>32. Ease of manufacture||5. Area of moving object</t>
        </is>
      </c>
      <c r="D1048" t="inlineStr">
        <is>
          <t>26,17,34,10</t>
        </is>
      </c>
    </row>
    <row r="1049">
      <c r="C1049" t="inlineStr">
        <is>
          <t>32. Ease of manufacture||6. Area of stationary object</t>
        </is>
      </c>
      <c r="D1049" t="inlineStr">
        <is>
          <t>26,17,34,10</t>
        </is>
      </c>
    </row>
    <row r="1050">
      <c r="C1050" t="inlineStr">
        <is>
          <t>32. Ease of manufacture||7. Volume of moving object</t>
        </is>
      </c>
      <c r="D1050" t="inlineStr">
        <is>
          <t>24,17,13</t>
        </is>
      </c>
    </row>
    <row r="1051">
      <c r="C1051" t="inlineStr">
        <is>
          <t>32. Ease of manufacture||8. Volume of stationary object</t>
        </is>
      </c>
      <c r="D1051" t="inlineStr">
        <is>
          <t>2,17,26</t>
        </is>
      </c>
    </row>
    <row r="1052">
      <c r="C1052" t="inlineStr">
        <is>
          <t>32. Ease of manufacture||9. Speed</t>
        </is>
      </c>
      <c r="D1052" t="inlineStr">
        <is>
          <t>1,32,17,26</t>
        </is>
      </c>
    </row>
    <row r="1053">
      <c r="C1053" t="inlineStr">
        <is>
          <t>32. Ease of manufacture||10. Force</t>
        </is>
      </c>
      <c r="D1053" t="inlineStr">
        <is>
          <t>1,32,17,28</t>
        </is>
      </c>
    </row>
    <row r="1054">
      <c r="C1054" t="inlineStr">
        <is>
          <t>32. Ease of manufacture||11. Stress or pressure</t>
        </is>
      </c>
      <c r="D1054" t="inlineStr">
        <is>
          <t>4,28,10,34</t>
        </is>
      </c>
    </row>
    <row r="1055">
      <c r="C1055" t="inlineStr">
        <is>
          <t>32. Ease of manufacture||12. Shape</t>
        </is>
      </c>
      <c r="D1055" t="inlineStr">
        <is>
          <t>1,32,10,25</t>
        </is>
      </c>
    </row>
    <row r="1056">
      <c r="C1056" t="inlineStr">
        <is>
          <t>32. Ease of manufacture||13. Stability of object composition</t>
        </is>
      </c>
      <c r="D1056" t="inlineStr">
        <is>
          <t>1,35,13</t>
        </is>
      </c>
    </row>
    <row r="1057">
      <c r="C1057" t="inlineStr">
        <is>
          <t>32. Ease of manufacture||14. Strength</t>
        </is>
      </c>
      <c r="D1057" t="inlineStr">
        <is>
          <t>1,35,13</t>
        </is>
      </c>
    </row>
    <row r="1058">
      <c r="C1058" t="inlineStr">
        <is>
          <t>32. Ease of manufacture||15. Duration of action - moving</t>
        </is>
      </c>
      <c r="D1058" t="inlineStr">
        <is>
          <t>1,32,13,11</t>
        </is>
      </c>
    </row>
    <row r="1059">
      <c r="C1059" t="inlineStr">
        <is>
          <t>32. Ease of manufacture||16. Duration of action - stationary</t>
        </is>
      </c>
      <c r="D1059" t="inlineStr">
        <is>
          <t>34,2,28,27</t>
        </is>
      </c>
    </row>
    <row r="1060">
      <c r="C1060" t="inlineStr">
        <is>
          <t>32. Ease of manufacture||17. Temperature</t>
        </is>
      </c>
      <c r="D1060" t="inlineStr">
        <is>
          <t>15,34,1,16</t>
        </is>
      </c>
    </row>
    <row r="1061">
      <c r="C1061" t="inlineStr">
        <is>
          <t>32. Ease of manufacture||18. Illumination intensity</t>
        </is>
      </c>
      <c r="D1061" t="inlineStr">
        <is>
          <t>32,24,18,16</t>
        </is>
      </c>
    </row>
    <row r="1062">
      <c r="C1062" t="inlineStr">
        <is>
          <t>32. Ease of manufacture||19. Use of energy by moving object</t>
        </is>
      </c>
      <c r="D1062" t="inlineStr">
        <is>
          <t>35,28,34,4</t>
        </is>
      </c>
    </row>
    <row r="1063">
      <c r="C1063" t="inlineStr">
        <is>
          <t>32. Ease of manufacture||20. Use of energy by stationary object</t>
        </is>
      </c>
      <c r="D1063" t="inlineStr">
        <is>
          <t>32,1,10,25</t>
        </is>
      </c>
    </row>
    <row r="1064">
      <c r="C1064" t="inlineStr">
        <is>
          <t>32. Ease of manufacture||21. Power</t>
        </is>
      </c>
      <c r="D1064" t="inlineStr">
        <is>
          <t>5,11,1,23</t>
        </is>
      </c>
    </row>
    <row r="1065">
      <c r="C1065" t="inlineStr">
        <is>
          <t>32. Ease of manufacture||22. Loss of energy</t>
        </is>
      </c>
      <c r="D1065" t="inlineStr">
        <is>
          <t>2,13,15</t>
        </is>
      </c>
    </row>
    <row r="1066">
      <c r="C1066" t="inlineStr">
        <is>
          <t>32. Ease of manufacture||23. Loss of substance</t>
        </is>
      </c>
      <c r="D1066" t="inlineStr">
        <is>
          <t>35,1,11,9</t>
        </is>
      </c>
    </row>
    <row r="1067">
      <c r="C1067" t="inlineStr">
        <is>
          <t>32. Ease of manufacture||24. Loss of information</t>
        </is>
      </c>
      <c r="D1067" t="inlineStr">
        <is>
          <t>28,10,9,35</t>
        </is>
      </c>
    </row>
    <row r="1068">
      <c r="C1068" t="inlineStr">
        <is>
          <t>32. Ease of manufacture||25. Loss of time</t>
        </is>
      </c>
      <c r="D1068" t="inlineStr">
        <is>
          <t>10,28,4,34</t>
        </is>
      </c>
    </row>
    <row r="1069">
      <c r="C1069" t="inlineStr">
        <is>
          <t>32. Ease of manufacture||26. Amount of substance</t>
        </is>
      </c>
      <c r="D1069" t="inlineStr">
        <is>
          <t>29,10,27,35</t>
        </is>
      </c>
    </row>
    <row r="1070">
      <c r="C1070" t="inlineStr">
        <is>
          <t>32. Ease of manufacture||27. Reliability</t>
        </is>
      </c>
      <c r="D1070" t="inlineStr">
        <is>
          <t>35,10,28,24</t>
        </is>
      </c>
    </row>
    <row r="1071">
      <c r="C1071" t="inlineStr">
        <is>
          <t>32. Ease of manufacture||28. Measurement accuracy</t>
        </is>
      </c>
      <c r="D1071" t="inlineStr">
        <is>
          <t>4,28,10,34</t>
        </is>
      </c>
    </row>
    <row r="1072">
      <c r="C1072" t="inlineStr">
        <is>
          <t>32. Ease of manufacture||29. Manufacturing precision</t>
        </is>
      </c>
      <c r="D1072" t="inlineStr">
        <is>
          <t>35,10,28,29</t>
        </is>
      </c>
    </row>
    <row r="1073">
      <c r="C1073" t="inlineStr">
        <is>
          <t>32. Ease of manufacture||30. Object-generated harmful effects</t>
        </is>
      </c>
      <c r="D1073" t="inlineStr">
        <is>
          <t>10,35,13,2</t>
        </is>
      </c>
    </row>
    <row r="1074">
      <c r="C1074" t="inlineStr">
        <is>
          <t>32. Ease of manufacture||31. Harmful side effects</t>
        </is>
      </c>
      <c r="D1074" t="inlineStr">
        <is>
          <t>10,28,35,23</t>
        </is>
      </c>
    </row>
    <row r="1075">
      <c r="C1075" t="inlineStr">
        <is>
          <t>32. Ease of manufacture||32. Ease of manufacture</t>
        </is>
      </c>
      <c r="D1075" t="inlineStr">
        <is>
          <t>—</t>
        </is>
      </c>
    </row>
    <row r="1076">
      <c r="C1076" t="inlineStr">
        <is>
          <t>32. Ease of manufacture||33. Ease of operation</t>
        </is>
      </c>
      <c r="D1076" t="inlineStr">
        <is>
          <t>2,35,10,16</t>
        </is>
      </c>
    </row>
    <row r="1077">
      <c r="C1077" t="inlineStr">
        <is>
          <t>32. Ease of manufacture||34. Ease of repair</t>
        </is>
      </c>
      <c r="D1077" t="inlineStr">
        <is>
          <t>35,10,28,29</t>
        </is>
      </c>
    </row>
    <row r="1078">
      <c r="C1078" t="inlineStr">
        <is>
          <t>32. Ease of manufacture||35. Adaptability or versatility</t>
        </is>
      </c>
      <c r="D1078" t="inlineStr">
        <is>
          <t>10,35,28,38</t>
        </is>
      </c>
    </row>
    <row r="1079">
      <c r="C1079" t="inlineStr">
        <is>
          <t>32. Ease of manufacture||36. Device complexity</t>
        </is>
      </c>
      <c r="D1079" t="inlineStr">
        <is>
          <t>10,13,35,7</t>
        </is>
      </c>
    </row>
    <row r="1080">
      <c r="C1080" t="inlineStr">
        <is>
          <t>32. Ease of manufacture||37. Difficulty of detecting and measuring</t>
        </is>
      </c>
      <c r="D1080" t="inlineStr">
        <is>
          <t>35,10,13,28</t>
        </is>
      </c>
    </row>
    <row r="1081">
      <c r="C1081" t="inlineStr">
        <is>
          <t>32. Ease of manufacture||38. Extent of automation</t>
        </is>
      </c>
      <c r="D1081" t="inlineStr">
        <is>
          <t>35,28,13,27</t>
        </is>
      </c>
    </row>
    <row r="1082">
      <c r="C1082" t="inlineStr">
        <is>
          <t>32. Ease of manufacture||39. Productivity</t>
        </is>
      </c>
      <c r="D1082" t="inlineStr">
        <is>
          <t>1,35,10,28</t>
        </is>
      </c>
    </row>
    <row r="1083">
      <c r="C1083" t="inlineStr">
        <is>
          <t>33. Ease of operation||1. Weight of moving object</t>
        </is>
      </c>
      <c r="D1083" t="inlineStr">
        <is>
          <t>25,2,13,15</t>
        </is>
      </c>
    </row>
    <row r="1084">
      <c r="C1084" t="inlineStr">
        <is>
          <t>33. Ease of operation||2. Weight of stationary object</t>
        </is>
      </c>
      <c r="D1084" t="inlineStr">
        <is>
          <t>6,13,1,25</t>
        </is>
      </c>
    </row>
    <row r="1085">
      <c r="C1085" t="inlineStr">
        <is>
          <t>33. Ease of operation||3. Length of moving object</t>
        </is>
      </c>
      <c r="D1085" t="inlineStr">
        <is>
          <t>1,17,13,12</t>
        </is>
      </c>
    </row>
    <row r="1086">
      <c r="C1086" t="inlineStr">
        <is>
          <t>33. Ease of operation||4. Length of stationary object</t>
        </is>
      </c>
      <c r="D1086" t="inlineStr">
        <is>
          <t>1,17,13,16</t>
        </is>
      </c>
    </row>
    <row r="1087">
      <c r="C1087" t="inlineStr">
        <is>
          <t>33. Ease of operation||5. Area of moving object</t>
        </is>
      </c>
      <c r="D1087" t="inlineStr">
        <is>
          <t>18,16,15,39</t>
        </is>
      </c>
    </row>
    <row r="1088">
      <c r="C1088" t="inlineStr">
        <is>
          <t>33. Ease of operation||6. Area of stationary object</t>
        </is>
      </c>
      <c r="D1088" t="inlineStr">
        <is>
          <t>1,16,35,15</t>
        </is>
      </c>
    </row>
    <row r="1089">
      <c r="C1089" t="inlineStr">
        <is>
          <t>33. Ease of operation||7. Volume of moving object</t>
        </is>
      </c>
      <c r="D1089" t="inlineStr">
        <is>
          <t>4,18,39,31</t>
        </is>
      </c>
    </row>
    <row r="1090">
      <c r="C1090" t="inlineStr">
        <is>
          <t>33. Ease of operation||8. Volume of stationary object</t>
        </is>
      </c>
      <c r="D1090" t="inlineStr">
        <is>
          <t>18,13,34</t>
        </is>
      </c>
    </row>
    <row r="1091">
      <c r="C1091" t="inlineStr">
        <is>
          <t>33. Ease of operation||9. Speed</t>
        </is>
      </c>
      <c r="D1091" t="inlineStr">
        <is>
          <t>28,13,35</t>
        </is>
      </c>
    </row>
    <row r="1092">
      <c r="C1092" t="inlineStr">
        <is>
          <t>33. Ease of operation||10. Force</t>
        </is>
      </c>
      <c r="D1092" t="inlineStr">
        <is>
          <t>2,32,12</t>
        </is>
      </c>
    </row>
    <row r="1093">
      <c r="C1093" t="inlineStr">
        <is>
          <t>33. Ease of operation||11. Stress or pressure</t>
        </is>
      </c>
      <c r="D1093" t="inlineStr">
        <is>
          <t>15,34,29,28</t>
        </is>
      </c>
    </row>
    <row r="1094">
      <c r="C1094" t="inlineStr">
        <is>
          <t>33. Ease of operation||12. Shape</t>
        </is>
      </c>
      <c r="D1094" t="inlineStr">
        <is>
          <t>32,35,30</t>
        </is>
      </c>
    </row>
    <row r="1095">
      <c r="C1095" t="inlineStr">
        <is>
          <t>33. Ease of operation||13. Stability of object composition</t>
        </is>
      </c>
      <c r="D1095" t="inlineStr">
        <is>
          <t>12,17,28,24</t>
        </is>
      </c>
    </row>
    <row r="1096">
      <c r="C1096" t="inlineStr">
        <is>
          <t>33. Ease of operation||14. Strength</t>
        </is>
      </c>
      <c r="D1096" t="inlineStr">
        <is>
          <t>15,34,33</t>
        </is>
      </c>
    </row>
    <row r="1097">
      <c r="C1097" t="inlineStr">
        <is>
          <t>33. Ease of operation||15. Duration of action - moving</t>
        </is>
      </c>
      <c r="D1097" t="inlineStr">
        <is>
          <t>32,24,18,16</t>
        </is>
      </c>
    </row>
    <row r="1098">
      <c r="C1098" t="inlineStr">
        <is>
          <t>33. Ease of operation||16. Duration of action - stationary</t>
        </is>
      </c>
      <c r="D1098" t="inlineStr">
        <is>
          <t>35,28,34,4</t>
        </is>
      </c>
    </row>
    <row r="1099">
      <c r="C1099" t="inlineStr">
        <is>
          <t>33. Ease of operation||17. Temperature</t>
        </is>
      </c>
      <c r="D1099" t="inlineStr">
        <is>
          <t>2,19,13</t>
        </is>
      </c>
    </row>
    <row r="1100">
      <c r="C1100" t="inlineStr">
        <is>
          <t>33. Ease of operation||18. Illumination intensity</t>
        </is>
      </c>
      <c r="D1100" t="inlineStr">
        <is>
          <t>28,32,13</t>
        </is>
      </c>
    </row>
    <row r="1101">
      <c r="C1101" t="inlineStr">
        <is>
          <t>33. Ease of operation||19. Use of energy by moving object</t>
        </is>
      </c>
      <c r="D1101" t="inlineStr">
        <is>
          <t>4,28,10,34</t>
        </is>
      </c>
    </row>
    <row r="1102">
      <c r="C1102" t="inlineStr">
        <is>
          <t>33. Ease of operation||20. Use of energy by stationary object</t>
        </is>
      </c>
      <c r="D1102" t="inlineStr">
        <is>
          <t>28,2,17,35</t>
        </is>
      </c>
    </row>
    <row r="1103">
      <c r="C1103" t="inlineStr">
        <is>
          <t>33. Ease of operation||21. Power</t>
        </is>
      </c>
      <c r="D1103" t="inlineStr">
        <is>
          <t>2,35,13,16</t>
        </is>
      </c>
    </row>
    <row r="1104">
      <c r="C1104" t="inlineStr">
        <is>
          <t>33. Ease of operation||22. Loss of energy</t>
        </is>
      </c>
      <c r="D1104" t="inlineStr">
        <is>
          <t>15,32,1,13</t>
        </is>
      </c>
    </row>
    <row r="1105">
      <c r="C1105" t="inlineStr">
        <is>
          <t>33. Ease of operation||23. Loss of substance</t>
        </is>
      </c>
      <c r="D1105" t="inlineStr">
        <is>
          <t>18,1</t>
        </is>
      </c>
    </row>
    <row r="1106">
      <c r="C1106" t="inlineStr">
        <is>
          <t>33. Ease of operation||24. Loss of information</t>
        </is>
      </c>
      <c r="D1106" t="inlineStr">
        <is>
          <t>16,10,28,35</t>
        </is>
      </c>
    </row>
    <row r="1107">
      <c r="C1107" t="inlineStr">
        <is>
          <t>33. Ease of operation||25. Loss of time</t>
        </is>
      </c>
      <c r="D1107" t="inlineStr">
        <is>
          <t>4,18,39,34</t>
        </is>
      </c>
    </row>
    <row r="1108">
      <c r="C1108" t="inlineStr">
        <is>
          <t>33. Ease of operation||26. Amount of substance</t>
        </is>
      </c>
      <c r="D1108" t="inlineStr">
        <is>
          <t>2,35,30,16</t>
        </is>
      </c>
    </row>
    <row r="1109">
      <c r="C1109" t="inlineStr">
        <is>
          <t>33. Ease of operation||27. Reliability</t>
        </is>
      </c>
      <c r="D1109" t="inlineStr">
        <is>
          <t>35,10,14</t>
        </is>
      </c>
    </row>
    <row r="1110">
      <c r="C1110" t="inlineStr">
        <is>
          <t>33. Ease of operation||28. Measurement accuracy</t>
        </is>
      </c>
      <c r="D1110" t="inlineStr">
        <is>
          <t>35,1,16,11</t>
        </is>
      </c>
    </row>
    <row r="1111">
      <c r="C1111" t="inlineStr">
        <is>
          <t>33. Ease of operation||29. Manufacturing precision</t>
        </is>
      </c>
      <c r="D1111" t="inlineStr">
        <is>
          <t>10,36,3,37</t>
        </is>
      </c>
    </row>
    <row r="1112">
      <c r="C1112" t="inlineStr">
        <is>
          <t>33. Ease of operation||30. Object-generated harmful effects</t>
        </is>
      </c>
      <c r="D1112" t="inlineStr">
        <is>
          <t>35,3,22,39</t>
        </is>
      </c>
    </row>
    <row r="1113">
      <c r="C1113" t="inlineStr">
        <is>
          <t>33. Ease of operation||31. Harmful side effects</t>
        </is>
      </c>
      <c r="D1113" t="inlineStr">
        <is>
          <t>35,28,2</t>
        </is>
      </c>
    </row>
    <row r="1114">
      <c r="C1114" t="inlineStr">
        <is>
          <t>33. Ease of operation||32. Ease of manufacture</t>
        </is>
      </c>
      <c r="D1114" t="inlineStr">
        <is>
          <t>28,29,15,16</t>
        </is>
      </c>
    </row>
    <row r="1115">
      <c r="C1115" t="inlineStr">
        <is>
          <t>33. Ease of operation||33. Ease of operation</t>
        </is>
      </c>
      <c r="D1115" t="inlineStr">
        <is>
          <t>—</t>
        </is>
      </c>
    </row>
    <row r="1116">
      <c r="C1116" t="inlineStr">
        <is>
          <t>33. Ease of operation||34. Ease of repair</t>
        </is>
      </c>
      <c r="D1116" t="inlineStr">
        <is>
          <t>25,2,35,11</t>
        </is>
      </c>
    </row>
    <row r="1117">
      <c r="C1117" t="inlineStr">
        <is>
          <t>33. Ease of operation||35. Adaptability or versatility</t>
        </is>
      </c>
      <c r="D1117" t="inlineStr">
        <is>
          <t>1,35,16</t>
        </is>
      </c>
    </row>
    <row r="1118">
      <c r="C1118" t="inlineStr">
        <is>
          <t>33. Ease of operation||36. Device complexity</t>
        </is>
      </c>
      <c r="D1118" t="inlineStr">
        <is>
          <t>15,37,18</t>
        </is>
      </c>
    </row>
    <row r="1119">
      <c r="C1119" t="inlineStr">
        <is>
          <t>33. Ease of operation||37. Difficulty of detecting and measuring</t>
        </is>
      </c>
      <c r="D1119" t="inlineStr">
        <is>
          <t>1,28,13,27</t>
        </is>
      </c>
    </row>
    <row r="1120">
      <c r="C1120" t="inlineStr">
        <is>
          <t>33. Ease of operation||38. Extent of automation</t>
        </is>
      </c>
      <c r="D1120" t="inlineStr">
        <is>
          <t>15,1,28,16</t>
        </is>
      </c>
    </row>
    <row r="1121">
      <c r="C1121" t="inlineStr">
        <is>
          <t>33. Ease of operation||39. Productivity</t>
        </is>
      </c>
      <c r="D1121" t="inlineStr">
        <is>
          <t>18,10,13,34</t>
        </is>
      </c>
    </row>
    <row r="1122">
      <c r="C1122" t="inlineStr">
        <is>
          <t>34. Ease of repair||1. Weight of moving object</t>
        </is>
      </c>
      <c r="D1122" t="inlineStr">
        <is>
          <t>2,27,35,40</t>
        </is>
      </c>
    </row>
    <row r="1123">
      <c r="C1123" t="inlineStr">
        <is>
          <t>34. Ease of repair||2. Weight of stationary object</t>
        </is>
      </c>
      <c r="D1123" t="inlineStr">
        <is>
          <t>2,27,35,40</t>
        </is>
      </c>
    </row>
    <row r="1124">
      <c r="C1124" t="inlineStr">
        <is>
          <t>34. Ease of repair||3. Length of moving object</t>
        </is>
      </c>
      <c r="D1124" t="inlineStr">
        <is>
          <t>1,28,10,25</t>
        </is>
      </c>
    </row>
    <row r="1125">
      <c r="C1125" t="inlineStr">
        <is>
          <t>34. Ease of repair||4. Length of stationary object</t>
        </is>
      </c>
      <c r="D1125" t="inlineStr">
        <is>
          <t>3,18,27,40</t>
        </is>
      </c>
    </row>
    <row r="1126">
      <c r="C1126" t="inlineStr">
        <is>
          <t>34. Ease of repair||5. Area of moving object</t>
        </is>
      </c>
      <c r="D1126" t="inlineStr">
        <is>
          <t>15,13,32</t>
        </is>
      </c>
    </row>
    <row r="1127">
      <c r="C1127" t="inlineStr">
        <is>
          <t>34. Ease of repair||6. Area of stationary object</t>
        </is>
      </c>
      <c r="D1127" t="inlineStr">
        <is>
          <t>16,25</t>
        </is>
      </c>
    </row>
    <row r="1128">
      <c r="C1128" t="inlineStr">
        <is>
          <t>34. Ease of repair||7. Volume of moving object</t>
        </is>
      </c>
      <c r="D1128" t="inlineStr">
        <is>
          <t>25,2,35,11</t>
        </is>
      </c>
    </row>
    <row r="1129">
      <c r="C1129" t="inlineStr">
        <is>
          <t>34. Ease of repair||8. Volume of stationary object</t>
        </is>
      </c>
      <c r="D1129" t="inlineStr">
        <is>
          <t>1,28,35,10</t>
        </is>
      </c>
    </row>
    <row r="1130">
      <c r="C1130" t="inlineStr">
        <is>
          <t>34. Ease of repair||9. Speed</t>
        </is>
      </c>
      <c r="D1130" t="inlineStr">
        <is>
          <t>34,9</t>
        </is>
      </c>
    </row>
    <row r="1131">
      <c r="C1131" t="inlineStr">
        <is>
          <t>34. Ease of repair||10. Force</t>
        </is>
      </c>
      <c r="D1131" t="inlineStr">
        <is>
          <t>1,11,10</t>
        </is>
      </c>
    </row>
    <row r="1132">
      <c r="C1132" t="inlineStr">
        <is>
          <t>34. Ease of repair||11. Stress or pressure</t>
        </is>
      </c>
      <c r="D1132" t="inlineStr">
        <is>
          <t>13,35,1,11</t>
        </is>
      </c>
    </row>
    <row r="1133">
      <c r="C1133" t="inlineStr">
        <is>
          <t>34. Ease of repair||12. Shape</t>
        </is>
      </c>
      <c r="D1133" t="inlineStr">
        <is>
          <t>2,13,15,16</t>
        </is>
      </c>
    </row>
    <row r="1134">
      <c r="C1134" t="inlineStr">
        <is>
          <t>34. Ease of repair||13. Stability of object composition</t>
        </is>
      </c>
      <c r="D1134" t="inlineStr">
        <is>
          <t>27,11,3</t>
        </is>
      </c>
    </row>
    <row r="1135">
      <c r="C1135" t="inlineStr">
        <is>
          <t>34. Ease of repair||14. Strength</t>
        </is>
      </c>
      <c r="D1135" t="inlineStr">
        <is>
          <t>1,32,10,25</t>
        </is>
      </c>
    </row>
    <row r="1136">
      <c r="C1136" t="inlineStr">
        <is>
          <t>34. Ease of repair||15. Duration of action - moving</t>
        </is>
      </c>
      <c r="D1136" t="inlineStr">
        <is>
          <t>13,35,2</t>
        </is>
      </c>
    </row>
    <row r="1137">
      <c r="C1137" t="inlineStr">
        <is>
          <t>34. Ease of repair||16. Duration of action - stationary</t>
        </is>
      </c>
      <c r="D1137" t="inlineStr">
        <is>
          <t>25,10,28,1</t>
        </is>
      </c>
    </row>
    <row r="1138">
      <c r="C1138" t="inlineStr">
        <is>
          <t>34. Ease of repair||17. Temperature</t>
        </is>
      </c>
      <c r="D1138" t="inlineStr">
        <is>
          <t>11,10,1,16</t>
        </is>
      </c>
    </row>
    <row r="1139">
      <c r="C1139" t="inlineStr">
        <is>
          <t>34. Ease of repair||18. Illumination intensity</t>
        </is>
      </c>
      <c r="D1139" t="inlineStr">
        <is>
          <t>11,13,1</t>
        </is>
      </c>
    </row>
    <row r="1140">
      <c r="C1140" t="inlineStr">
        <is>
          <t>34. Ease of repair||19. Use of energy by moving object</t>
        </is>
      </c>
      <c r="D1140" t="inlineStr">
        <is>
          <t>1,13,2,4</t>
        </is>
      </c>
    </row>
    <row r="1141">
      <c r="C1141" t="inlineStr">
        <is>
          <t>34. Ease of repair||20. Use of energy by stationary object</t>
        </is>
      </c>
      <c r="D1141" t="inlineStr">
        <is>
          <t>2,35,13,10</t>
        </is>
      </c>
    </row>
    <row r="1142">
      <c r="C1142" t="inlineStr">
        <is>
          <t>34. Ease of repair||21. Power</t>
        </is>
      </c>
      <c r="D1142" t="inlineStr">
        <is>
          <t>35,11,22,31</t>
        </is>
      </c>
    </row>
    <row r="1143">
      <c r="C1143" t="inlineStr">
        <is>
          <t>34. Ease of repair||22. Loss of energy</t>
        </is>
      </c>
      <c r="D1143" t="inlineStr">
        <is>
          <t>34,9,27,40</t>
        </is>
      </c>
    </row>
    <row r="1144">
      <c r="C1144" t="inlineStr">
        <is>
          <t>34. Ease of repair||23. Loss of substance</t>
        </is>
      </c>
      <c r="D1144" t="inlineStr">
        <is>
          <t>15,10,32,2</t>
        </is>
      </c>
    </row>
    <row r="1145">
      <c r="C1145" t="inlineStr">
        <is>
          <t>34. Ease of repair||24. Loss of information</t>
        </is>
      </c>
      <c r="D1145" t="inlineStr">
        <is>
          <t>15,1,32,19</t>
        </is>
      </c>
    </row>
    <row r="1146">
      <c r="C1146" t="inlineStr">
        <is>
          <t>34. Ease of repair||25. Loss of time</t>
        </is>
      </c>
      <c r="D1146" t="inlineStr">
        <is>
          <t>35,28,34,18</t>
        </is>
      </c>
    </row>
    <row r="1147">
      <c r="C1147" t="inlineStr">
        <is>
          <t>34. Ease of repair||26. Amount of substance</t>
        </is>
      </c>
      <c r="D1147" t="inlineStr">
        <is>
          <t>35,10,28,29</t>
        </is>
      </c>
    </row>
    <row r="1148">
      <c r="C1148" t="inlineStr">
        <is>
          <t>34. Ease of repair||27. Reliability</t>
        </is>
      </c>
      <c r="D1148" t="inlineStr">
        <is>
          <t>2,35,3,25</t>
        </is>
      </c>
    </row>
    <row r="1149">
      <c r="C1149" t="inlineStr">
        <is>
          <t>34. Ease of repair||28. Measurement accuracy</t>
        </is>
      </c>
      <c r="D1149" t="inlineStr">
        <is>
          <t>32,28,2,24</t>
        </is>
      </c>
    </row>
    <row r="1150">
      <c r="C1150" t="inlineStr">
        <is>
          <t>34. Ease of repair||29. Manufacturing precision</t>
        </is>
      </c>
      <c r="D1150" t="inlineStr">
        <is>
          <t>2,35,28,26</t>
        </is>
      </c>
    </row>
    <row r="1151">
      <c r="C1151" t="inlineStr">
        <is>
          <t>34. Ease of repair||30. Object-generated harmful effects</t>
        </is>
      </c>
      <c r="D1151" t="inlineStr">
        <is>
          <t>35,28,10,6</t>
        </is>
      </c>
    </row>
    <row r="1152">
      <c r="C1152" t="inlineStr">
        <is>
          <t>34. Ease of repair||31. Harmful side effects</t>
        </is>
      </c>
      <c r="D1152" t="inlineStr">
        <is>
          <t>2,10,3</t>
        </is>
      </c>
    </row>
    <row r="1153">
      <c r="C1153" t="inlineStr">
        <is>
          <t>34. Ease of repair||32. Ease of manufacture</t>
        </is>
      </c>
      <c r="D1153" t="inlineStr">
        <is>
          <t>35,10,28,29</t>
        </is>
      </c>
    </row>
    <row r="1154">
      <c r="C1154" t="inlineStr">
        <is>
          <t>34. Ease of repair||33. Ease of operation</t>
        </is>
      </c>
      <c r="D1154" t="inlineStr">
        <is>
          <t>25,2,35,11</t>
        </is>
      </c>
    </row>
    <row r="1155">
      <c r="C1155" t="inlineStr">
        <is>
          <t>34. Ease of repair||34. Ease of repair</t>
        </is>
      </c>
      <c r="D1155" t="inlineStr">
        <is>
          <t>—</t>
        </is>
      </c>
    </row>
    <row r="1156">
      <c r="C1156" t="inlineStr">
        <is>
          <t>34. Ease of repair||35. Adaptability or versatility</t>
        </is>
      </c>
      <c r="D1156" t="inlineStr">
        <is>
          <t>1,32,2,9</t>
        </is>
      </c>
    </row>
    <row r="1157">
      <c r="C1157" t="inlineStr">
        <is>
          <t>34. Ease of repair||36. Device complexity</t>
        </is>
      </c>
      <c r="D1157" t="inlineStr">
        <is>
          <t>35,28,6</t>
        </is>
      </c>
    </row>
    <row r="1158">
      <c r="C1158" t="inlineStr">
        <is>
          <t>34. Ease of repair||37. Difficulty of detecting and measuring</t>
        </is>
      </c>
      <c r="D1158" t="inlineStr">
        <is>
          <t>3,1,32,13</t>
        </is>
      </c>
    </row>
    <row r="1159">
      <c r="C1159" t="inlineStr">
        <is>
          <t>34. Ease of repair||38. Extent of automation</t>
        </is>
      </c>
      <c r="D1159" t="inlineStr">
        <is>
          <t>35,28,25,10</t>
        </is>
      </c>
    </row>
    <row r="1160">
      <c r="C1160" t="inlineStr">
        <is>
          <t>34. Ease of repair||39. Productivity</t>
        </is>
      </c>
      <c r="D1160" t="inlineStr">
        <is>
          <t>2,10,28,25</t>
        </is>
      </c>
    </row>
    <row r="1161">
      <c r="C1161" t="inlineStr">
        <is>
          <t>35. Adaptability or versatility||1. Weight of moving object</t>
        </is>
      </c>
      <c r="D1161" t="inlineStr">
        <is>
          <t>15,35,29</t>
        </is>
      </c>
    </row>
    <row r="1162">
      <c r="C1162" t="inlineStr">
        <is>
          <t>35. Adaptability or versatility||2. Weight of stationary object</t>
        </is>
      </c>
      <c r="D1162" t="inlineStr">
        <is>
          <t>15,29,37,28</t>
        </is>
      </c>
    </row>
    <row r="1163">
      <c r="C1163" t="inlineStr">
        <is>
          <t>35. Adaptability or versatility||3. Length of moving object</t>
        </is>
      </c>
      <c r="D1163" t="inlineStr">
        <is>
          <t>1,35,16</t>
        </is>
      </c>
    </row>
    <row r="1164">
      <c r="C1164" t="inlineStr">
        <is>
          <t>35. Adaptability or versatility||4. Length of stationary object</t>
        </is>
      </c>
      <c r="D1164" t="inlineStr">
        <is>
          <t>35,30,29,7</t>
        </is>
      </c>
    </row>
    <row r="1165">
      <c r="C1165" t="inlineStr">
        <is>
          <t>35. Adaptability or versatility||5. Area of moving object</t>
        </is>
      </c>
      <c r="D1165" t="inlineStr">
        <is>
          <t>15,16,35,28</t>
        </is>
      </c>
    </row>
    <row r="1166">
      <c r="C1166" t="inlineStr">
        <is>
          <t>35. Adaptability or versatility||6. Area of stationary object</t>
        </is>
      </c>
      <c r="D1166" t="inlineStr">
        <is>
          <t>35,10,14</t>
        </is>
      </c>
    </row>
    <row r="1167">
      <c r="C1167" t="inlineStr">
        <is>
          <t>35. Adaptability or versatility||7. Volume of moving object</t>
        </is>
      </c>
      <c r="D1167" t="inlineStr">
        <is>
          <t>15,37,1,8</t>
        </is>
      </c>
    </row>
    <row r="1168">
      <c r="C1168" t="inlineStr">
        <is>
          <t>35. Adaptability or versatility||8. Volume of stationary object</t>
        </is>
      </c>
      <c r="D1168" t="inlineStr">
        <is>
          <t>35,30,14</t>
        </is>
      </c>
    </row>
    <row r="1169">
      <c r="C1169" t="inlineStr">
        <is>
          <t>35. Adaptability or versatility||9. Speed</t>
        </is>
      </c>
      <c r="D1169" t="inlineStr">
        <is>
          <t>35,28,33,18</t>
        </is>
      </c>
    </row>
    <row r="1170">
      <c r="C1170" t="inlineStr">
        <is>
          <t>35. Adaptability or versatility||10. Force</t>
        </is>
      </c>
      <c r="D1170" t="inlineStr">
        <is>
          <t>15,10,2</t>
        </is>
      </c>
    </row>
    <row r="1171">
      <c r="C1171" t="inlineStr">
        <is>
          <t>35. Adaptability or versatility||11. Stress or pressure</t>
        </is>
      </c>
      <c r="D1171" t="inlineStr">
        <is>
          <t>35,10,14</t>
        </is>
      </c>
    </row>
    <row r="1172">
      <c r="C1172" t="inlineStr">
        <is>
          <t>35. Adaptability or versatility||12. Shape</t>
        </is>
      </c>
      <c r="D1172" t="inlineStr">
        <is>
          <t>14,1,16,10</t>
        </is>
      </c>
    </row>
    <row r="1173">
      <c r="C1173" t="inlineStr">
        <is>
          <t>35. Adaptability or versatility||13. Stability of object composition</t>
        </is>
      </c>
      <c r="D1173" t="inlineStr">
        <is>
          <t>2,35,15</t>
        </is>
      </c>
    </row>
    <row r="1174">
      <c r="C1174" t="inlineStr">
        <is>
          <t>35. Adaptability or versatility||14. Strength</t>
        </is>
      </c>
      <c r="D1174" t="inlineStr">
        <is>
          <t>15,37,1,8</t>
        </is>
      </c>
    </row>
    <row r="1175">
      <c r="C1175" t="inlineStr">
        <is>
          <t>35. Adaptability or versatility||15. Duration of action - moving</t>
        </is>
      </c>
      <c r="D1175" t="inlineStr">
        <is>
          <t>35,30,14,2</t>
        </is>
      </c>
    </row>
    <row r="1176">
      <c r="C1176" t="inlineStr">
        <is>
          <t>35. Adaptability or versatility||16. Duration of action - stationary</t>
        </is>
      </c>
      <c r="D1176" t="inlineStr">
        <is>
          <t>35,10,14</t>
        </is>
      </c>
    </row>
    <row r="1177">
      <c r="C1177" t="inlineStr">
        <is>
          <t>35. Adaptability or versatility||17. Temperature</t>
        </is>
      </c>
      <c r="D1177" t="inlineStr">
        <is>
          <t>3,15,40,14</t>
        </is>
      </c>
    </row>
    <row r="1178">
      <c r="C1178" t="inlineStr">
        <is>
          <t>35. Adaptability or versatility||18. Illumination intensity</t>
        </is>
      </c>
      <c r="D1178" t="inlineStr">
        <is>
          <t>35,28</t>
        </is>
      </c>
    </row>
    <row r="1179">
      <c r="C1179" t="inlineStr">
        <is>
          <t>35. Adaptability or versatility||19. Use of energy by moving object</t>
        </is>
      </c>
      <c r="D1179" t="inlineStr">
        <is>
          <t>35,14,3</t>
        </is>
      </c>
    </row>
    <row r="1180">
      <c r="C1180" t="inlineStr">
        <is>
          <t>35. Adaptability or versatility||20. Use of energy by stationary object</t>
        </is>
      </c>
      <c r="D1180" t="inlineStr">
        <is>
          <t>35,14,1,16</t>
        </is>
      </c>
    </row>
    <row r="1181">
      <c r="C1181" t="inlineStr">
        <is>
          <t>35. Adaptability or versatility||21. Power</t>
        </is>
      </c>
      <c r="D1181" t="inlineStr">
        <is>
          <t>15,37,1</t>
        </is>
      </c>
    </row>
    <row r="1182">
      <c r="C1182" t="inlineStr">
        <is>
          <t>35. Adaptability or versatility||22. Loss of energy</t>
        </is>
      </c>
      <c r="D1182" t="inlineStr">
        <is>
          <t>35,14,2</t>
        </is>
      </c>
    </row>
    <row r="1183">
      <c r="C1183" t="inlineStr">
        <is>
          <t>35. Adaptability or versatility||23. Loss of substance</t>
        </is>
      </c>
      <c r="D1183" t="inlineStr">
        <is>
          <t>14,15,1,16</t>
        </is>
      </c>
    </row>
    <row r="1184">
      <c r="C1184" t="inlineStr">
        <is>
          <t>35. Adaptability or versatility||24. Loss of information</t>
        </is>
      </c>
      <c r="D1184" t="inlineStr">
        <is>
          <t>35,14,18,34</t>
        </is>
      </c>
    </row>
    <row r="1185">
      <c r="C1185" t="inlineStr">
        <is>
          <t>35. Adaptability or versatility||25. Loss of time</t>
        </is>
      </c>
      <c r="D1185" t="inlineStr">
        <is>
          <t>35,30,14,18</t>
        </is>
      </c>
    </row>
    <row r="1186">
      <c r="C1186" t="inlineStr">
        <is>
          <t>35. Adaptability or versatility||26. Amount of substance</t>
        </is>
      </c>
      <c r="D1186" t="inlineStr">
        <is>
          <t>35,10,21,16</t>
        </is>
      </c>
    </row>
    <row r="1187">
      <c r="C1187" t="inlineStr">
        <is>
          <t>35. Adaptability or versatility||27. Reliability</t>
        </is>
      </c>
      <c r="D1187" t="inlineStr">
        <is>
          <t>35,28,21,18</t>
        </is>
      </c>
    </row>
    <row r="1188">
      <c r="C1188" t="inlineStr">
        <is>
          <t>35. Adaptability or versatility||28. Measurement accuracy</t>
        </is>
      </c>
      <c r="D1188" t="inlineStr">
        <is>
          <t>35,13,8,24</t>
        </is>
      </c>
    </row>
    <row r="1189">
      <c r="C1189" t="inlineStr">
        <is>
          <t>35. Adaptability or versatility||29. Manufacturing precision</t>
        </is>
      </c>
      <c r="D1189" t="inlineStr">
        <is>
          <t>35,5,1,10</t>
        </is>
      </c>
    </row>
    <row r="1190">
      <c r="C1190" t="inlineStr">
        <is>
          <t>35. Adaptability or versatility||30. Object-generated harmful effects</t>
        </is>
      </c>
      <c r="D1190" t="inlineStr">
        <is>
          <t>35,11,32,31</t>
        </is>
      </c>
    </row>
    <row r="1191">
      <c r="C1191" t="inlineStr">
        <is>
          <t>35. Adaptability or versatility||31. Harmful side effects</t>
        </is>
      </c>
      <c r="D1191" t="inlineStr">
        <is>
          <t>35,10,28</t>
        </is>
      </c>
    </row>
    <row r="1192">
      <c r="C1192" t="inlineStr">
        <is>
          <t>35. Adaptability or versatility||32. Ease of manufacture</t>
        </is>
      </c>
      <c r="D1192" t="inlineStr">
        <is>
          <t>35,10,37</t>
        </is>
      </c>
    </row>
    <row r="1193">
      <c r="C1193" t="inlineStr">
        <is>
          <t>35. Adaptability or versatility||33. Ease of operation</t>
        </is>
      </c>
      <c r="D1193" t="inlineStr">
        <is>
          <t>1,35,16</t>
        </is>
      </c>
    </row>
    <row r="1194">
      <c r="C1194" t="inlineStr">
        <is>
          <t>35. Adaptability or versatility||34. Ease of repair</t>
        </is>
      </c>
      <c r="D1194" t="inlineStr">
        <is>
          <t>32,1,2,9</t>
        </is>
      </c>
    </row>
    <row r="1195">
      <c r="C1195" t="inlineStr">
        <is>
          <t>35. Adaptability or versatility||35. Adaptability or versatility</t>
        </is>
      </c>
      <c r="D1195" t="inlineStr">
        <is>
          <t>—</t>
        </is>
      </c>
    </row>
    <row r="1196">
      <c r="C1196" t="inlineStr">
        <is>
          <t>35. Adaptability or versatility||36. Device complexity</t>
        </is>
      </c>
      <c r="D1196" t="inlineStr">
        <is>
          <t>1,6,13,26</t>
        </is>
      </c>
    </row>
    <row r="1197">
      <c r="C1197" t="inlineStr">
        <is>
          <t>35. Adaptability or versatility||37. Difficulty of detecting and measuring</t>
        </is>
      </c>
      <c r="D1197" t="inlineStr">
        <is>
          <t>15,29,28,11</t>
        </is>
      </c>
    </row>
    <row r="1198">
      <c r="C1198" t="inlineStr">
        <is>
          <t>35. Adaptability or versatility||38. Extent of automation</t>
        </is>
      </c>
      <c r="D1198" t="inlineStr">
        <is>
          <t>1,15,29,16</t>
        </is>
      </c>
    </row>
    <row r="1199">
      <c r="C1199" t="inlineStr">
        <is>
          <t>35. Adaptability or versatility||39. Productivity</t>
        </is>
      </c>
      <c r="D1199" t="inlineStr">
        <is>
          <t>1,35,13</t>
        </is>
      </c>
    </row>
    <row r="1200">
      <c r="C1200" t="inlineStr">
        <is>
          <t>36. Device complexity||1. Weight of moving object</t>
        </is>
      </c>
      <c r="D1200" t="inlineStr">
        <is>
          <t>26,30,34,36</t>
        </is>
      </c>
    </row>
    <row r="1201">
      <c r="C1201" t="inlineStr">
        <is>
          <t>36. Device complexity||2. Weight of stationary object</t>
        </is>
      </c>
      <c r="D1201" t="inlineStr">
        <is>
          <t>2,26,35,39</t>
        </is>
      </c>
    </row>
    <row r="1202">
      <c r="C1202" t="inlineStr">
        <is>
          <t>36. Device complexity||3. Length of moving object</t>
        </is>
      </c>
      <c r="D1202" t="inlineStr">
        <is>
          <t>1,19,26,24</t>
        </is>
      </c>
    </row>
    <row r="1203">
      <c r="C1203" t="inlineStr">
        <is>
          <t>36. Device complexity||4. Length of stationary object</t>
        </is>
      </c>
      <c r="D1203" t="inlineStr">
        <is>
          <t>26,30,34,36</t>
        </is>
      </c>
    </row>
    <row r="1204">
      <c r="C1204" t="inlineStr">
        <is>
          <t>36. Device complexity||5. Area of moving object</t>
        </is>
      </c>
      <c r="D1204" t="inlineStr">
        <is>
          <t>2,35</t>
        </is>
      </c>
    </row>
    <row r="1205">
      <c r="C1205" t="inlineStr">
        <is>
          <t>36. Device complexity||6. Area of stationary object</t>
        </is>
      </c>
      <c r="D1205" t="inlineStr">
        <is>
          <t>2,10,34,31</t>
        </is>
      </c>
    </row>
    <row r="1206">
      <c r="C1206" t="inlineStr">
        <is>
          <t>36. Device complexity||7. Volume of moving object</t>
        </is>
      </c>
      <c r="D1206" t="inlineStr">
        <is>
          <t>19,30,35,2</t>
        </is>
      </c>
    </row>
    <row r="1207">
      <c r="C1207" t="inlineStr">
        <is>
          <t>36. Device complexity||8. Volume of stationary object</t>
        </is>
      </c>
      <c r="D1207" t="inlineStr">
        <is>
          <t>2,19,6</t>
        </is>
      </c>
    </row>
    <row r="1208">
      <c r="C1208" t="inlineStr">
        <is>
          <t>36. Device complexity||9. Speed</t>
        </is>
      </c>
      <c r="D1208" t="inlineStr">
        <is>
          <t>35,39,38</t>
        </is>
      </c>
    </row>
    <row r="1209">
      <c r="C1209" t="inlineStr">
        <is>
          <t>36. Device complexity||10. Force</t>
        </is>
      </c>
      <c r="D1209" t="inlineStr">
        <is>
          <t>28,27,18,31</t>
        </is>
      </c>
    </row>
    <row r="1210">
      <c r="C1210" t="inlineStr">
        <is>
          <t>36. Device complexity||11. Stress or pressure</t>
        </is>
      </c>
      <c r="D1210" t="inlineStr">
        <is>
          <t>15,10,37,28</t>
        </is>
      </c>
    </row>
    <row r="1211">
      <c r="C1211" t="inlineStr">
        <is>
          <t>36. Device complexity||12. Shape</t>
        </is>
      </c>
      <c r="D1211" t="inlineStr">
        <is>
          <t>15,10,2</t>
        </is>
      </c>
    </row>
    <row r="1212">
      <c r="C1212" t="inlineStr">
        <is>
          <t>36. Device complexity||13. Stability of object composition</t>
        </is>
      </c>
      <c r="D1212" t="inlineStr">
        <is>
          <t>15,10,37</t>
        </is>
      </c>
    </row>
    <row r="1213">
      <c r="C1213" t="inlineStr">
        <is>
          <t>36. Device complexity||14. Strength</t>
        </is>
      </c>
      <c r="D1213" t="inlineStr">
        <is>
          <t>2,14,17,25</t>
        </is>
      </c>
    </row>
    <row r="1214">
      <c r="C1214" t="inlineStr">
        <is>
          <t>36. Device complexity||15. Duration of action - moving</t>
        </is>
      </c>
      <c r="D1214" t="inlineStr">
        <is>
          <t>1,35,13</t>
        </is>
      </c>
    </row>
    <row r="1215">
      <c r="C1215" t="inlineStr">
        <is>
          <t>36. Device complexity||16. Duration of action - stationary</t>
        </is>
      </c>
      <c r="D1215" t="inlineStr">
        <is>
          <t>35,10,28</t>
        </is>
      </c>
    </row>
    <row r="1216">
      <c r="C1216" t="inlineStr">
        <is>
          <t>36. Device complexity||17. Temperature</t>
        </is>
      </c>
      <c r="D1216" t="inlineStr">
        <is>
          <t>35,19,32,24</t>
        </is>
      </c>
    </row>
    <row r="1217">
      <c r="C1217" t="inlineStr">
        <is>
          <t>36. Device complexity||18. Illumination intensity</t>
        </is>
      </c>
      <c r="D1217" t="inlineStr">
        <is>
          <t>32,35,27,31</t>
        </is>
      </c>
    </row>
    <row r="1218">
      <c r="C1218" t="inlineStr">
        <is>
          <t>36. Device complexity||19. Use of energy by moving object</t>
        </is>
      </c>
      <c r="D1218" t="inlineStr">
        <is>
          <t>26,2,19,16</t>
        </is>
      </c>
    </row>
    <row r="1219">
      <c r="C1219" t="inlineStr">
        <is>
          <t>36. Device complexity||20. Use of energy by stationary object</t>
        </is>
      </c>
      <c r="D1219" t="inlineStr">
        <is>
          <t>2,19,13</t>
        </is>
      </c>
    </row>
    <row r="1220">
      <c r="C1220" t="inlineStr">
        <is>
          <t>36. Device complexity||21. Power</t>
        </is>
      </c>
      <c r="D1220" t="inlineStr">
        <is>
          <t>19,13,17,24</t>
        </is>
      </c>
    </row>
    <row r="1221">
      <c r="C1221" t="inlineStr">
        <is>
          <t>36. Device complexity||22. Loss of energy</t>
        </is>
      </c>
      <c r="D1221" t="inlineStr">
        <is>
          <t>13,29,2,4</t>
        </is>
      </c>
    </row>
    <row r="1222">
      <c r="C1222" t="inlineStr">
        <is>
          <t>36. Device complexity||23. Loss of substance</t>
        </is>
      </c>
      <c r="D1222" t="inlineStr">
        <is>
          <t>35,22,18,39</t>
        </is>
      </c>
    </row>
    <row r="1223">
      <c r="C1223" t="inlineStr">
        <is>
          <t>36. Device complexity||24. Loss of information</t>
        </is>
      </c>
      <c r="D1223" t="inlineStr">
        <is>
          <t>35,10,18</t>
        </is>
      </c>
    </row>
    <row r="1224">
      <c r="C1224" t="inlineStr">
        <is>
          <t>36. Device complexity||25. Loss of time</t>
        </is>
      </c>
      <c r="D1224" t="inlineStr">
        <is>
          <t>1,19,26,17</t>
        </is>
      </c>
    </row>
    <row r="1225">
      <c r="C1225" t="inlineStr">
        <is>
          <t>36. Device complexity||26. Amount of substance</t>
        </is>
      </c>
      <c r="D1225" t="inlineStr">
        <is>
          <t>1,19,26</t>
        </is>
      </c>
    </row>
    <row r="1226">
      <c r="C1226" t="inlineStr">
        <is>
          <t>36. Device complexity||27. Reliability</t>
        </is>
      </c>
      <c r="D1226" t="inlineStr">
        <is>
          <t>10,26,13</t>
        </is>
      </c>
    </row>
    <row r="1227">
      <c r="C1227" t="inlineStr">
        <is>
          <t>36. Device complexity||28. Measurement accuracy</t>
        </is>
      </c>
      <c r="D1227" t="inlineStr">
        <is>
          <t>19,26,24,32</t>
        </is>
      </c>
    </row>
    <row r="1228">
      <c r="C1228" t="inlineStr">
        <is>
          <t>36. Device complexity||29. Manufacturing precision</t>
        </is>
      </c>
      <c r="D1228" t="inlineStr">
        <is>
          <t>10,26,32,28</t>
        </is>
      </c>
    </row>
    <row r="1229">
      <c r="C1229" t="inlineStr">
        <is>
          <t>36. Device complexity||30. Object-generated harmful effects</t>
        </is>
      </c>
      <c r="D1229" t="inlineStr">
        <is>
          <t>1,6,29</t>
        </is>
      </c>
    </row>
    <row r="1230">
      <c r="C1230" t="inlineStr">
        <is>
          <t>36. Device complexity||31. Harmful side effects</t>
        </is>
      </c>
      <c r="D1230" t="inlineStr">
        <is>
          <t>35,26,2,4</t>
        </is>
      </c>
    </row>
    <row r="1231">
      <c r="C1231" t="inlineStr">
        <is>
          <t>36. Device complexity||32. Ease of manufacture</t>
        </is>
      </c>
      <c r="D1231" t="inlineStr">
        <is>
          <t>10,16,3,28</t>
        </is>
      </c>
    </row>
    <row r="1232">
      <c r="C1232" t="inlineStr">
        <is>
          <t>36. Device complexity||33. Ease of operation</t>
        </is>
      </c>
      <c r="D1232" t="inlineStr">
        <is>
          <t>28,1,9,26</t>
        </is>
      </c>
    </row>
    <row r="1233">
      <c r="C1233" t="inlineStr">
        <is>
          <t>36. Device complexity||34. Ease of repair</t>
        </is>
      </c>
      <c r="D1233" t="inlineStr">
        <is>
          <t>1,15,29,16</t>
        </is>
      </c>
    </row>
    <row r="1234">
      <c r="C1234" t="inlineStr">
        <is>
          <t>36. Device complexity||35. Adaptability or versatility</t>
        </is>
      </c>
      <c r="D1234" t="inlineStr">
        <is>
          <t>15,10,37,28</t>
        </is>
      </c>
    </row>
    <row r="1235">
      <c r="C1235" t="inlineStr">
        <is>
          <t>36. Device complexity||36. Device complexity</t>
        </is>
      </c>
      <c r="D1235" t="inlineStr">
        <is>
          <t>—</t>
        </is>
      </c>
    </row>
    <row r="1236">
      <c r="C1236" t="inlineStr">
        <is>
          <t>36. Device complexity||37. Difficulty of detecting and measuring</t>
        </is>
      </c>
      <c r="D1236" t="inlineStr">
        <is>
          <t>2,14,30,40</t>
        </is>
      </c>
    </row>
    <row r="1237">
      <c r="C1237" t="inlineStr">
        <is>
          <t>36. Device complexity||38. Extent of automation</t>
        </is>
      </c>
      <c r="D1237" t="inlineStr">
        <is>
          <t>28,10,19,34</t>
        </is>
      </c>
    </row>
    <row r="1238">
      <c r="C1238" t="inlineStr">
        <is>
          <t>36. Device complexity||39. Productivity</t>
        </is>
      </c>
      <c r="D1238" t="inlineStr">
        <is>
          <t>15,17,20</t>
        </is>
      </c>
    </row>
    <row r="1239">
      <c r="C1239" t="inlineStr">
        <is>
          <t>37. Difficulty of detecting and measuring||1. Weight of moving object</t>
        </is>
      </c>
      <c r="D1239" t="inlineStr">
        <is>
          <t>28,26,18,35</t>
        </is>
      </c>
    </row>
    <row r="1240">
      <c r="C1240" t="inlineStr">
        <is>
          <t>37. Difficulty of detecting and measuring||2. Weight of stationary object</t>
        </is>
      </c>
      <c r="D1240" t="inlineStr">
        <is>
          <t>28,26,35,10</t>
        </is>
      </c>
    </row>
    <row r="1241">
      <c r="C1241" t="inlineStr">
        <is>
          <t>37. Difficulty of detecting and measuring||3. Length of moving object</t>
        </is>
      </c>
      <c r="D1241" t="inlineStr">
        <is>
          <t>28,26,18,35</t>
        </is>
      </c>
    </row>
    <row r="1242">
      <c r="C1242" t="inlineStr">
        <is>
          <t>37. Difficulty of detecting and measuring||4. Length of stationary object</t>
        </is>
      </c>
      <c r="D1242" t="inlineStr">
        <is>
          <t>2,26,35,10</t>
        </is>
      </c>
    </row>
    <row r="1243">
      <c r="C1243" t="inlineStr">
        <is>
          <t>37. Difficulty of detecting and measuring||5. Area of moving object</t>
        </is>
      </c>
      <c r="D1243" t="inlineStr">
        <is>
          <t>2,28,10,25</t>
        </is>
      </c>
    </row>
    <row r="1244">
      <c r="C1244" t="inlineStr">
        <is>
          <t>37. Difficulty of detecting and measuring||6. Area of stationary object</t>
        </is>
      </c>
      <c r="D1244" t="inlineStr">
        <is>
          <t>10,18,32,39</t>
        </is>
      </c>
    </row>
    <row r="1245">
      <c r="C1245" t="inlineStr">
        <is>
          <t>37. Difficulty of detecting and measuring||7. Volume of moving object</t>
        </is>
      </c>
      <c r="D1245" t="inlineStr">
        <is>
          <t>2,6,34,14</t>
        </is>
      </c>
    </row>
    <row r="1246">
      <c r="C1246" t="inlineStr">
        <is>
          <t>37. Difficulty of detecting and measuring||8. Volume of stationary object</t>
        </is>
      </c>
      <c r="D1246" t="inlineStr">
        <is>
          <t>28,6,13,26</t>
        </is>
      </c>
    </row>
    <row r="1247">
      <c r="C1247" t="inlineStr">
        <is>
          <t>37. Difficulty of detecting and measuring||9. Speed</t>
        </is>
      </c>
      <c r="D1247" t="inlineStr">
        <is>
          <t>35,36,37,32</t>
        </is>
      </c>
    </row>
    <row r="1248">
      <c r="C1248" t="inlineStr">
        <is>
          <t>37. Difficulty of detecting and measuring||10. Force</t>
        </is>
      </c>
      <c r="D1248" t="inlineStr">
        <is>
          <t>28,15,10,36</t>
        </is>
      </c>
    </row>
    <row r="1249">
      <c r="C1249" t="inlineStr">
        <is>
          <t>37. Difficulty of detecting and measuring||11. Stress or pressure</t>
        </is>
      </c>
      <c r="D1249" t="inlineStr">
        <is>
          <t>6,35,36,37</t>
        </is>
      </c>
    </row>
    <row r="1250">
      <c r="C1250" t="inlineStr">
        <is>
          <t>37. Difficulty of detecting and measuring||12. Shape</t>
        </is>
      </c>
      <c r="D1250" t="inlineStr">
        <is>
          <t>35,1,13,11</t>
        </is>
      </c>
    </row>
    <row r="1251">
      <c r="C1251" t="inlineStr">
        <is>
          <t>37. Difficulty of detecting and measuring||13. Stability of object composition</t>
        </is>
      </c>
      <c r="D1251" t="inlineStr">
        <is>
          <t>2,26,10,34</t>
        </is>
      </c>
    </row>
    <row r="1252">
      <c r="C1252" t="inlineStr">
        <is>
          <t>37. Difficulty of detecting and measuring||14. Strength</t>
        </is>
      </c>
      <c r="D1252" t="inlineStr">
        <is>
          <t>28,26,10,34</t>
        </is>
      </c>
    </row>
    <row r="1253">
      <c r="C1253" t="inlineStr">
        <is>
          <t>37. Difficulty of detecting and measuring||15. Duration of action - moving</t>
        </is>
      </c>
      <c r="D1253" t="inlineStr">
        <is>
          <t>28,15,10,36</t>
        </is>
      </c>
    </row>
    <row r="1254">
      <c r="C1254" t="inlineStr">
        <is>
          <t>37. Difficulty of detecting and measuring||17. Temperature</t>
        </is>
      </c>
      <c r="D1254" t="inlineStr">
        <is>
          <t>35,26,24,37</t>
        </is>
      </c>
    </row>
    <row r="1255">
      <c r="C1255" t="inlineStr">
        <is>
          <t>37. Difficulty of detecting and measuring||18. Illumination intensity</t>
        </is>
      </c>
      <c r="D1255" t="inlineStr">
        <is>
          <t>28,26,10,34</t>
        </is>
      </c>
    </row>
    <row r="1256">
      <c r="C1256" t="inlineStr">
        <is>
          <t>37. Difficulty of detecting and measuring||19. Use of energy by moving object</t>
        </is>
      </c>
      <c r="D1256" t="inlineStr">
        <is>
          <t>28,26,18,35</t>
        </is>
      </c>
    </row>
    <row r="1257">
      <c r="C1257" t="inlineStr">
        <is>
          <t>37. Difficulty of detecting and measuring||20. Use of energy by stationary object</t>
        </is>
      </c>
      <c r="D1257" t="inlineStr">
        <is>
          <t>35,26,28,10</t>
        </is>
      </c>
    </row>
    <row r="1258">
      <c r="C1258" t="inlineStr">
        <is>
          <t>37. Difficulty of detecting and measuring||21. Power</t>
        </is>
      </c>
      <c r="D1258" t="inlineStr">
        <is>
          <t>2,6,28,26</t>
        </is>
      </c>
    </row>
    <row r="1259">
      <c r="C1259" t="inlineStr">
        <is>
          <t>37. Difficulty of detecting and measuring||22. Loss of energy</t>
        </is>
      </c>
      <c r="D1259" t="inlineStr">
        <is>
          <t>35,36,37,32</t>
        </is>
      </c>
    </row>
    <row r="1260">
      <c r="C1260" t="inlineStr">
        <is>
          <t>37. Difficulty of detecting and measuring||23. Loss of substance</t>
        </is>
      </c>
      <c r="D1260" t="inlineStr">
        <is>
          <t>6,28,35,26</t>
        </is>
      </c>
    </row>
    <row r="1261">
      <c r="C1261" t="inlineStr">
        <is>
          <t>37. Difficulty of detecting and measuring||24. Loss of information</t>
        </is>
      </c>
      <c r="D1261" t="inlineStr">
        <is>
          <t>3,6,5,26</t>
        </is>
      </c>
    </row>
    <row r="1262">
      <c r="C1262" t="inlineStr">
        <is>
          <t>37. Difficulty of detecting and measuring||25. Loss of time</t>
        </is>
      </c>
      <c r="D1262" t="inlineStr">
        <is>
          <t>35,26,24,37</t>
        </is>
      </c>
    </row>
    <row r="1263">
      <c r="C1263" t="inlineStr">
        <is>
          <t>37. Difficulty of detecting and measuring||26. Amount of substance</t>
        </is>
      </c>
      <c r="D1263" t="inlineStr">
        <is>
          <t>35,28,34,26</t>
        </is>
      </c>
    </row>
    <row r="1264">
      <c r="C1264" t="inlineStr">
        <is>
          <t>37. Difficulty of detecting and measuring||27. Reliability</t>
        </is>
      </c>
      <c r="D1264" t="inlineStr">
        <is>
          <t>28,26,10,34</t>
        </is>
      </c>
    </row>
    <row r="1265">
      <c r="C1265" t="inlineStr">
        <is>
          <t>37. Difficulty of detecting and measuring||28. Measurement accuracy</t>
        </is>
      </c>
      <c r="D1265" t="inlineStr">
        <is>
          <t>1,13,32,19</t>
        </is>
      </c>
    </row>
    <row r="1266">
      <c r="C1266" t="inlineStr">
        <is>
          <t>37. Difficulty of detecting and measuring||29. Manufacturing precision</t>
        </is>
      </c>
      <c r="D1266" t="inlineStr">
        <is>
          <t>1,13,32,19</t>
        </is>
      </c>
    </row>
    <row r="1267">
      <c r="C1267" t="inlineStr">
        <is>
          <t>37. Difficulty of detecting and measuring||30. Object-generated harmful effects</t>
        </is>
      </c>
      <c r="D1267" t="inlineStr">
        <is>
          <t>35,18,10,13</t>
        </is>
      </c>
    </row>
    <row r="1268">
      <c r="C1268" t="inlineStr">
        <is>
          <t>37. Difficulty of detecting and measuring||31. Harmful side effects</t>
        </is>
      </c>
      <c r="D1268" t="inlineStr">
        <is>
          <t>35,10,18,5</t>
        </is>
      </c>
    </row>
    <row r="1269">
      <c r="C1269" t="inlineStr">
        <is>
          <t>37. Difficulty of detecting and measuring||32. Ease of manufacture</t>
        </is>
      </c>
      <c r="D1269" t="inlineStr">
        <is>
          <t>35,10,13,28</t>
        </is>
      </c>
    </row>
    <row r="1270">
      <c r="C1270" t="inlineStr">
        <is>
          <t>37. Difficulty of detecting and measuring||33. Ease of operation</t>
        </is>
      </c>
      <c r="D1270" t="inlineStr">
        <is>
          <t>35,10,18,16</t>
        </is>
      </c>
    </row>
    <row r="1271">
      <c r="C1271" t="inlineStr">
        <is>
          <t>37. Difficulty of detecting and measuring||34. Ease of repair</t>
        </is>
      </c>
      <c r="D1271" t="inlineStr">
        <is>
          <t>35,18,10,13</t>
        </is>
      </c>
    </row>
    <row r="1272">
      <c r="C1272" t="inlineStr">
        <is>
          <t>37. Difficulty of detecting and measuring||35. Adaptability or versatility</t>
        </is>
      </c>
      <c r="D1272" t="inlineStr">
        <is>
          <t>10,13,28,29</t>
        </is>
      </c>
    </row>
    <row r="1273">
      <c r="C1273" t="inlineStr">
        <is>
          <t>37. Difficulty of detecting and measuring||36. Device complexity</t>
        </is>
      </c>
      <c r="D1273" t="inlineStr">
        <is>
          <t>10,4,28,34</t>
        </is>
      </c>
    </row>
    <row r="1274">
      <c r="C1274" t="inlineStr">
        <is>
          <t>37. Difficulty of detecting and measuring||37. Difficulty of detecting and measuring</t>
        </is>
      </c>
      <c r="D1274" t="inlineStr">
        <is>
          <t>—</t>
        </is>
      </c>
    </row>
    <row r="1275">
      <c r="C1275" t="inlineStr">
        <is>
          <t>37. Difficulty of detecting and measuring||38. Extent of automation</t>
        </is>
      </c>
      <c r="D1275" t="inlineStr">
        <is>
          <t>3,27,35,16</t>
        </is>
      </c>
    </row>
    <row r="1276">
      <c r="C1276" t="inlineStr">
        <is>
          <t>37. Difficulty of detecting and measuring||39. Productivity</t>
        </is>
      </c>
      <c r="D1276" t="inlineStr">
        <is>
          <t>6,13,28,1</t>
        </is>
      </c>
    </row>
    <row r="1277">
      <c r="C1277" t="inlineStr">
        <is>
          <t>38. Extent of automation||1. Weight of moving object</t>
        </is>
      </c>
      <c r="D1277" t="inlineStr">
        <is>
          <t>28,26,18,35</t>
        </is>
      </c>
    </row>
    <row r="1278">
      <c r="C1278" t="inlineStr">
        <is>
          <t>38. Extent of automation||2. Weight of stationary object</t>
        </is>
      </c>
      <c r="D1278" t="inlineStr">
        <is>
          <t>28,26,35,10</t>
        </is>
      </c>
    </row>
    <row r="1279">
      <c r="C1279" t="inlineStr">
        <is>
          <t>38. Extent of automation||3. Length of moving object</t>
        </is>
      </c>
      <c r="D1279" t="inlineStr">
        <is>
          <t>14,13,17,28</t>
        </is>
      </c>
    </row>
    <row r="1280">
      <c r="C1280" t="inlineStr">
        <is>
          <t>38. Extent of automation||4. Length of stationary object</t>
        </is>
      </c>
      <c r="D1280" t="inlineStr">
        <is>
          <t>23,14,25,12</t>
        </is>
      </c>
    </row>
    <row r="1281">
      <c r="C1281" t="inlineStr">
        <is>
          <t>38. Extent of automation||5. Area of moving object</t>
        </is>
      </c>
      <c r="D1281" t="inlineStr">
        <is>
          <t>17,14,13</t>
        </is>
      </c>
    </row>
    <row r="1282">
      <c r="C1282" t="inlineStr">
        <is>
          <t>38. Extent of automation||6. Area of stationary object</t>
        </is>
      </c>
      <c r="D1282" t="inlineStr">
        <is>
          <t>35,13,16</t>
        </is>
      </c>
    </row>
    <row r="1283">
      <c r="C1283" t="inlineStr">
        <is>
          <t>38. Extent of automation||7. Volume of moving object</t>
        </is>
      </c>
      <c r="D1283" t="inlineStr">
        <is>
          <t>28,10,29,35</t>
        </is>
      </c>
    </row>
    <row r="1284">
      <c r="C1284" t="inlineStr">
        <is>
          <t>38. Extent of automation||8. Volume of stationary object</t>
        </is>
      </c>
      <c r="D1284" t="inlineStr">
        <is>
          <t>28,13,15,19</t>
        </is>
      </c>
    </row>
    <row r="1285">
      <c r="C1285" t="inlineStr">
        <is>
          <t>38. Extent of automation||9. Speed</t>
        </is>
      </c>
      <c r="D1285" t="inlineStr">
        <is>
          <t>13,15,23</t>
        </is>
      </c>
    </row>
    <row r="1286">
      <c r="C1286" t="inlineStr">
        <is>
          <t>38. Extent of automation||10. Force</t>
        </is>
      </c>
      <c r="D1286" t="inlineStr">
        <is>
          <t>17,26,34,10</t>
        </is>
      </c>
    </row>
    <row r="1287">
      <c r="C1287" t="inlineStr">
        <is>
          <t>38. Extent of automation||11. Stress or pressure</t>
        </is>
      </c>
      <c r="D1287" t="inlineStr">
        <is>
          <t>1,6,15,28</t>
        </is>
      </c>
    </row>
    <row r="1288">
      <c r="C1288" t="inlineStr">
        <is>
          <t>38. Extent of automation||12. Shape</t>
        </is>
      </c>
      <c r="D1288" t="inlineStr">
        <is>
          <t>1,28,15,35</t>
        </is>
      </c>
    </row>
    <row r="1289">
      <c r="C1289" t="inlineStr">
        <is>
          <t>38. Extent of automation||13. Stability of object composition</t>
        </is>
      </c>
      <c r="D1289" t="inlineStr">
        <is>
          <t>10,26,35,28</t>
        </is>
      </c>
    </row>
    <row r="1290">
      <c r="C1290" t="inlineStr">
        <is>
          <t>38. Extent of automation||14. Strength</t>
        </is>
      </c>
      <c r="D1290" t="inlineStr">
        <is>
          <t>10,35,14</t>
        </is>
      </c>
    </row>
    <row r="1291">
      <c r="C1291" t="inlineStr">
        <is>
          <t>38. Extent of automation||15. Duration of action - moving</t>
        </is>
      </c>
      <c r="D1291" t="inlineStr">
        <is>
          <t>28,10,35,24</t>
        </is>
      </c>
    </row>
    <row r="1292">
      <c r="C1292" t="inlineStr">
        <is>
          <t>38. Extent of automation||16. Duration of action - stationary</t>
        </is>
      </c>
      <c r="D1292" t="inlineStr">
        <is>
          <t>10,24,35,14</t>
        </is>
      </c>
    </row>
    <row r="1293">
      <c r="C1293" t="inlineStr">
        <is>
          <t>38. Extent of automation||17. Temperature</t>
        </is>
      </c>
      <c r="D1293" t="inlineStr">
        <is>
          <t>24,28,35,30</t>
        </is>
      </c>
    </row>
    <row r="1294">
      <c r="C1294" t="inlineStr">
        <is>
          <t>38. Extent of automation||18. Illumination intensity</t>
        </is>
      </c>
      <c r="D1294" t="inlineStr">
        <is>
          <t>35,13,18</t>
        </is>
      </c>
    </row>
    <row r="1295">
      <c r="C1295" t="inlineStr">
        <is>
          <t>38. Extent of automation||19. Use of energy by moving object</t>
        </is>
      </c>
      <c r="D1295" t="inlineStr">
        <is>
          <t>28,29,35,10</t>
        </is>
      </c>
    </row>
    <row r="1296">
      <c r="C1296" t="inlineStr">
        <is>
          <t>38. Extent of automation||20. Use of energy by stationary object</t>
        </is>
      </c>
      <c r="D1296" t="inlineStr">
        <is>
          <t>22,19,29,28</t>
        </is>
      </c>
    </row>
    <row r="1297">
      <c r="C1297" t="inlineStr">
        <is>
          <t>38. Extent of automation||21. Power</t>
        </is>
      </c>
      <c r="D1297" t="inlineStr">
        <is>
          <t>35,22,18,39</t>
        </is>
      </c>
    </row>
    <row r="1298">
      <c r="C1298" t="inlineStr">
        <is>
          <t>38. Extent of automation||22. Loss of energy</t>
        </is>
      </c>
      <c r="D1298" t="inlineStr">
        <is>
          <t>35,28,2,24</t>
        </is>
      </c>
    </row>
    <row r="1299">
      <c r="C1299" t="inlineStr">
        <is>
          <t>38. Extent of automation||23. Loss of substance</t>
        </is>
      </c>
      <c r="D1299" t="inlineStr">
        <is>
          <t>35,10,28,23</t>
        </is>
      </c>
    </row>
    <row r="1300">
      <c r="C1300" t="inlineStr">
        <is>
          <t>38. Extent of automation||24. Loss of information</t>
        </is>
      </c>
      <c r="D1300" t="inlineStr">
        <is>
          <t>6,28,11,1</t>
        </is>
      </c>
    </row>
    <row r="1301">
      <c r="C1301" t="inlineStr">
        <is>
          <t>38. Extent of automation||25. Loss of time</t>
        </is>
      </c>
      <c r="D1301" t="inlineStr">
        <is>
          <t>1,6,35,10</t>
        </is>
      </c>
    </row>
    <row r="1302">
      <c r="C1302" t="inlineStr">
        <is>
          <t>38. Extent of automation||26. Amount of substance</t>
        </is>
      </c>
      <c r="D1302" t="inlineStr">
        <is>
          <t>2,35,6</t>
        </is>
      </c>
    </row>
    <row r="1303">
      <c r="C1303" t="inlineStr">
        <is>
          <t>38. Extent of automation||27. Reliability</t>
        </is>
      </c>
      <c r="D1303" t="inlineStr">
        <is>
          <t>28,26,10,34</t>
        </is>
      </c>
    </row>
    <row r="1304">
      <c r="C1304" t="inlineStr">
        <is>
          <t>38. Extent of automation||28. Measurement accuracy</t>
        </is>
      </c>
      <c r="D1304" t="inlineStr">
        <is>
          <t>28,35,15</t>
        </is>
      </c>
    </row>
    <row r="1305">
      <c r="C1305" t="inlineStr">
        <is>
          <t>38. Extent of automation||29. Manufacturing precision</t>
        </is>
      </c>
      <c r="D1305" t="inlineStr">
        <is>
          <t>13,35,2</t>
        </is>
      </c>
    </row>
    <row r="1306">
      <c r="C1306" t="inlineStr">
        <is>
          <t>38. Extent of automation||30. Object-generated harmful effects</t>
        </is>
      </c>
      <c r="D1306" t="inlineStr">
        <is>
          <t>28,29,28,10</t>
        </is>
      </c>
    </row>
    <row r="1307">
      <c r="C1307" t="inlineStr">
        <is>
          <t>38. Extent of automation||31. Harmful side effects</t>
        </is>
      </c>
      <c r="D1307" t="inlineStr">
        <is>
          <t>1,26,13</t>
        </is>
      </c>
    </row>
    <row r="1308">
      <c r="C1308" t="inlineStr">
        <is>
          <t>38. Extent of automation||32. Ease of manufacture</t>
        </is>
      </c>
      <c r="D1308" t="inlineStr">
        <is>
          <t>35,10,28,16</t>
        </is>
      </c>
    </row>
    <row r="1309">
      <c r="C1309" t="inlineStr">
        <is>
          <t>38. Extent of automation||33. Ease of operation</t>
        </is>
      </c>
      <c r="D1309" t="inlineStr">
        <is>
          <t>28,10,3,34</t>
        </is>
      </c>
    </row>
    <row r="1310">
      <c r="C1310" t="inlineStr">
        <is>
          <t>38. Extent of automation||34. Ease of repair</t>
        </is>
      </c>
      <c r="D1310" t="inlineStr">
        <is>
          <t>28,10,2,35</t>
        </is>
      </c>
    </row>
    <row r="1311">
      <c r="C1311" t="inlineStr">
        <is>
          <t>38. Extent of automation||35. Adaptability or versatility</t>
        </is>
      </c>
      <c r="D1311" t="inlineStr">
        <is>
          <t>35,28,10,25</t>
        </is>
      </c>
    </row>
    <row r="1312">
      <c r="C1312" t="inlineStr">
        <is>
          <t>38. Extent of automation||36. Device complexity</t>
        </is>
      </c>
      <c r="D1312" t="inlineStr">
        <is>
          <t>35,1,10,28</t>
        </is>
      </c>
    </row>
    <row r="1313">
      <c r="C1313" t="inlineStr">
        <is>
          <t>38. Extent of automation||37. Difficulty of detecting and measuring</t>
        </is>
      </c>
      <c r="D1313" t="inlineStr">
        <is>
          <t>1,28,13,27</t>
        </is>
      </c>
    </row>
    <row r="1314">
      <c r="C1314" t="inlineStr">
        <is>
          <t>38. Extent of automation||38. Extent of automation</t>
        </is>
      </c>
      <c r="D1314" t="inlineStr">
        <is>
          <t>—</t>
        </is>
      </c>
    </row>
    <row r="1315">
      <c r="C1315" t="inlineStr">
        <is>
          <t>38. Extent of automation||39. Productivity</t>
        </is>
      </c>
      <c r="D1315" t="inlineStr">
        <is>
          <t>12,28,35,26</t>
        </is>
      </c>
    </row>
    <row r="1316">
      <c r="C1316" t="inlineStr">
        <is>
          <t>39. Productivity||1. Weight of moving object</t>
        </is>
      </c>
      <c r="D1316" t="inlineStr">
        <is>
          <t>35,26,24,37</t>
        </is>
      </c>
    </row>
    <row r="1317">
      <c r="C1317" t="inlineStr">
        <is>
          <t>39. Productivity||2. Weight of stationary object</t>
        </is>
      </c>
      <c r="D1317" t="inlineStr">
        <is>
          <t>28,27,15,3</t>
        </is>
      </c>
    </row>
    <row r="1318">
      <c r="C1318" t="inlineStr">
        <is>
          <t>39. Productivity||3. Length of moving object</t>
        </is>
      </c>
      <c r="D1318" t="inlineStr">
        <is>
          <t>18,4,28,38</t>
        </is>
      </c>
    </row>
    <row r="1319">
      <c r="C1319" t="inlineStr">
        <is>
          <t>39. Productivity||4. Length of stationary object</t>
        </is>
      </c>
      <c r="D1319" t="inlineStr">
        <is>
          <t>30,7,14,26</t>
        </is>
      </c>
    </row>
    <row r="1320">
      <c r="C1320" t="inlineStr">
        <is>
          <t>39. Productivity||5. Area of moving object</t>
        </is>
      </c>
      <c r="D1320" t="inlineStr">
        <is>
          <t>10,26,34,31</t>
        </is>
      </c>
    </row>
    <row r="1321">
      <c r="C1321" t="inlineStr">
        <is>
          <t>39. Productivity||6. Area of stationary object</t>
        </is>
      </c>
      <c r="D1321" t="inlineStr">
        <is>
          <t>10,35,17,7</t>
        </is>
      </c>
    </row>
    <row r="1322">
      <c r="C1322" t="inlineStr">
        <is>
          <t>39. Productivity||7. Volume of moving object</t>
        </is>
      </c>
      <c r="D1322" t="inlineStr">
        <is>
          <t>2,6,34,10</t>
        </is>
      </c>
    </row>
    <row r="1323">
      <c r="C1323" t="inlineStr">
        <is>
          <t>39. Productivity||8. Volume of stationary object</t>
        </is>
      </c>
      <c r="D1323" t="inlineStr">
        <is>
          <t>35,37,10,2</t>
        </is>
      </c>
    </row>
    <row r="1324">
      <c r="C1324" t="inlineStr">
        <is>
          <t>39. Productivity||9. Speed</t>
        </is>
      </c>
      <c r="D1324" t="inlineStr">
        <is>
          <t>28,15,10,36</t>
        </is>
      </c>
    </row>
    <row r="1325">
      <c r="C1325" t="inlineStr">
        <is>
          <t>39. Productivity||10. Force</t>
        </is>
      </c>
      <c r="D1325" t="inlineStr">
        <is>
          <t>10,37,14</t>
        </is>
      </c>
    </row>
    <row r="1326">
      <c r="C1326" t="inlineStr">
        <is>
          <t>39. Productivity||11. Stress or pressure</t>
        </is>
      </c>
      <c r="D1326" t="inlineStr">
        <is>
          <t>14,10,34,40</t>
        </is>
      </c>
    </row>
    <row r="1327">
      <c r="C1327" t="inlineStr">
        <is>
          <t>39. Productivity||12. Shape</t>
        </is>
      </c>
      <c r="D1327" t="inlineStr">
        <is>
          <t>35,3,22,39</t>
        </is>
      </c>
    </row>
    <row r="1328">
      <c r="C1328" t="inlineStr">
        <is>
          <t>39. Productivity||13. Stability of object composition</t>
        </is>
      </c>
      <c r="D1328" t="inlineStr">
        <is>
          <t>29,28,10,18</t>
        </is>
      </c>
    </row>
    <row r="1329">
      <c r="C1329" t="inlineStr">
        <is>
          <t>39. Productivity||14. Strength</t>
        </is>
      </c>
      <c r="D1329" t="inlineStr">
        <is>
          <t>35,10,28,29</t>
        </is>
      </c>
    </row>
    <row r="1330">
      <c r="C1330" t="inlineStr">
        <is>
          <t>39. Productivity||15. Duration of action - moving</t>
        </is>
      </c>
      <c r="D1330" t="inlineStr">
        <is>
          <t>10,14,35,37</t>
        </is>
      </c>
    </row>
    <row r="1331">
      <c r="C1331" t="inlineStr">
        <is>
          <t>39. Productivity||16. Duration of action - stationary</t>
        </is>
      </c>
      <c r="D1331" t="inlineStr">
        <is>
          <t>10,14,2</t>
        </is>
      </c>
    </row>
    <row r="1332">
      <c r="C1332" t="inlineStr">
        <is>
          <t>39. Productivity||17. Temperature</t>
        </is>
      </c>
      <c r="D1332" t="inlineStr">
        <is>
          <t>35,10,38,19</t>
        </is>
      </c>
    </row>
    <row r="1333">
      <c r="C1333" t="inlineStr">
        <is>
          <t>39. Productivity||18. Illumination intensity</t>
        </is>
      </c>
      <c r="D1333" t="inlineStr">
        <is>
          <t>35,17,14,19</t>
        </is>
      </c>
    </row>
    <row r="1334">
      <c r="C1334" t="inlineStr">
        <is>
          <t>39. Productivity||19. Use of energy by moving object</t>
        </is>
      </c>
      <c r="D1334" t="inlineStr">
        <is>
          <t>28,15,16,35</t>
        </is>
      </c>
    </row>
    <row r="1335">
      <c r="C1335" t="inlineStr">
        <is>
          <t>39. Productivity||20. Use of energy by stationary object</t>
        </is>
      </c>
      <c r="D1335" t="inlineStr">
        <is>
          <t>1,28,15,35</t>
        </is>
      </c>
    </row>
    <row r="1336">
      <c r="C1336" t="inlineStr">
        <is>
          <t>39. Productivity||21. Power</t>
        </is>
      </c>
      <c r="D1336" t="inlineStr">
        <is>
          <t>12,17,28,24</t>
        </is>
      </c>
    </row>
    <row r="1337">
      <c r="C1337" t="inlineStr">
        <is>
          <t>39. Productivity||22. Loss of energy</t>
        </is>
      </c>
      <c r="D1337" t="inlineStr">
        <is>
          <t>35,18,27,2</t>
        </is>
      </c>
    </row>
    <row r="1338">
      <c r="C1338" t="inlineStr">
        <is>
          <t>39. Productivity||23. Loss of substance</t>
        </is>
      </c>
      <c r="D1338" t="inlineStr">
        <is>
          <t>5,12,35,26</t>
        </is>
      </c>
    </row>
    <row r="1339">
      <c r="C1339" t="inlineStr">
        <is>
          <t>39. Productivity||24. Loss of information</t>
        </is>
      </c>
      <c r="D1339" t="inlineStr">
        <is>
          <t>1,35,10,38</t>
        </is>
      </c>
    </row>
    <row r="1340">
      <c r="C1340" t="inlineStr">
        <is>
          <t>39. Productivity||25. Loss of time</t>
        </is>
      </c>
      <c r="D1340" t="inlineStr">
        <is>
          <t>35,20,10,6</t>
        </is>
      </c>
    </row>
    <row r="1341">
      <c r="C1341" t="inlineStr">
        <is>
          <t>39. Productivity||26. Amount of substance</t>
        </is>
      </c>
      <c r="D1341" t="inlineStr">
        <is>
          <t>28,35,34,4</t>
        </is>
      </c>
    </row>
    <row r="1342">
      <c r="C1342" t="inlineStr">
        <is>
          <t>39. Productivity||27. Reliability</t>
        </is>
      </c>
      <c r="D1342" t="inlineStr">
        <is>
          <t>4,35,28,10</t>
        </is>
      </c>
    </row>
    <row r="1343">
      <c r="C1343" t="inlineStr">
        <is>
          <t>39. Productivity||28. Measurement accuracy</t>
        </is>
      </c>
      <c r="D1343" t="inlineStr">
        <is>
          <t>32,1,10,25</t>
        </is>
      </c>
    </row>
    <row r="1344">
      <c r="C1344" t="inlineStr">
        <is>
          <t>39. Productivity||29. Manufacturing precision</t>
        </is>
      </c>
      <c r="D1344" t="inlineStr">
        <is>
          <t>28,2,10,25</t>
        </is>
      </c>
    </row>
    <row r="1345">
      <c r="C1345" t="inlineStr">
        <is>
          <t>39. Productivity||30. Object-generated harmful effects</t>
        </is>
      </c>
      <c r="D1345" t="inlineStr">
        <is>
          <t>28,10,29,35</t>
        </is>
      </c>
    </row>
    <row r="1346">
      <c r="C1346" t="inlineStr">
        <is>
          <t>39. Productivity||31. Harmful side effects</t>
        </is>
      </c>
      <c r="D1346" t="inlineStr">
        <is>
          <t>1,35,13</t>
        </is>
      </c>
    </row>
    <row r="1347">
      <c r="C1347" t="inlineStr">
        <is>
          <t>39. Productivity||32. Ease of manufacture</t>
        </is>
      </c>
      <c r="D1347" t="inlineStr">
        <is>
          <t>1,35,28,37</t>
        </is>
      </c>
    </row>
    <row r="1348">
      <c r="C1348" t="inlineStr">
        <is>
          <t>39. Productivity||33. Ease of operation</t>
        </is>
      </c>
      <c r="D1348" t="inlineStr">
        <is>
          <t>12,17,28,24</t>
        </is>
      </c>
    </row>
    <row r="1349">
      <c r="C1349" t="inlineStr">
        <is>
          <t>39. Productivity||34. Ease of repair</t>
        </is>
      </c>
      <c r="D1349" t="inlineStr">
        <is>
          <t>15,1,28,16</t>
        </is>
      </c>
    </row>
    <row r="1350">
      <c r="C1350" t="inlineStr">
        <is>
          <t>39. Productivity||35. Adaptability or versatility</t>
        </is>
      </c>
      <c r="D1350" t="inlineStr">
        <is>
          <t>35,28,2,10</t>
        </is>
      </c>
    </row>
    <row r="1351">
      <c r="C1351" t="inlineStr">
        <is>
          <t>39. Productivity||36. Device complexity</t>
        </is>
      </c>
      <c r="D1351" t="inlineStr">
        <is>
          <t>14,15,1,16</t>
        </is>
      </c>
    </row>
    <row r="1352">
      <c r="C1352" t="inlineStr">
        <is>
          <t>39. Productivity||37. Difficulty of detecting and measuring</t>
        </is>
      </c>
      <c r="D1352" t="inlineStr">
        <is>
          <t>1,6,13,28</t>
        </is>
      </c>
    </row>
    <row r="1353">
      <c r="C1353" t="inlineStr">
        <is>
          <t>39. Productivity||38. Extent of automation</t>
        </is>
      </c>
      <c r="D1353" t="inlineStr">
        <is>
          <t>35,26,24,37</t>
        </is>
      </c>
    </row>
    <row r="1354">
      <c r="C1354" t="inlineStr">
        <is>
          <t>39. Productivity||39. Productivity</t>
        </is>
      </c>
      <c r="D1354" t="inlineStr">
        <is>
          <t>—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Segmentation</t>
        </is>
      </c>
      <c r="C1" t="inlineStr">
        <is>
          <t>[A] [A] Divide an object into independent parts
  • Different focal length lenses for a camera
  • Gator-grip socket spanner
  • Multi-pin connectors
  • Multiple pistons in an internal combustion engine
  • Multi-engined aircraft
  • Stratification of different constituents inside a chemical process vessel
[B] Make an object sectional - easy to assemble or disassemble
  • Rapid-release fasteners for bicycle saddle/wheel/etc
  • Quick disconnect joints in plumbing and hydraulic systems
  • Single fastener V-band clamps on flange joints
  • Loose-leaf paper in a ring binder
[C] Increase the degree of fragmentation or segmentation
  • Multiple control surfaces on aerodynamic structures
  • 16 and 24 valve versus 8 valve internal combustion engines
  • Multi-zone combustion system
  • Build up a component from layers (e.g. stereo-lithography, welds, etc)</t>
        </is>
      </c>
    </row>
    <row r="2">
      <c r="A2" t="n">
        <v>2</v>
      </c>
      <c r="B2" t="inlineStr">
        <is>
          <t>Taking out</t>
        </is>
      </c>
      <c r="C2" t="inlineStr">
        <is>
          <t>[A] [A] Extract the disturbing part or property from an object
  • Non-smoking areas in restaurants or in railway carriages
  • Children-only areas in public places and home
  • Sunday school
  • Public bars and lounge bars in pubs
  • Women or men only bars / waiting rooms
  • Air Conditioning in the room where you want it with the noise of the system outside the room
[B] Extract the only necessary part (or property) of an object
  • Scarecrow
  • Sound of a barking dog (with no dog) as a burglar alarm
  • Economy class on planes (travel but no frills)</t>
        </is>
      </c>
    </row>
    <row r="3">
      <c r="A3" t="n">
        <v>3</v>
      </c>
      <c r="B3" t="inlineStr">
        <is>
          <t>Local quality</t>
        </is>
      </c>
      <c r="C3" t="inlineStr">
        <is>
          <t>[A] [A] Change of an object's structure from uniform to non-uniform
  • Reduce drag on aerodynamic surfaces by adding riblets or 'shark-skin' protrusions
  • Moulded hand grips on tools
  • Drink cans shaped to facilitate stable stacking
  • Material surface treatments / coatings - plating,
  • Erosion / corrosion protection, case hardening, non-stick, etc
[B] Change an action or an external environment (or external influence) from uniform to non-uniform
  • Introduce turbulent flow around an object to alter heat transfer properties
  • Strobe lighting
  • Take account of extremes of weather conditions when designing outdoor systems
  • Use a gradient instead of constant temperature, density, or pressure
[C] Make each part of an object function in conditions most suitable for its operation
  • Freezer compartment in refrigerator
  • Different zones in the combustion system of an engine
  • Night-time adjustment on a rear-view mirror
  • Lunch box with special compartments for hot and cold solid foods and for liquids
[D] Make each part of an object fulfil a different and/or complementary useful function
  • Swiss-Army knife
  • Combined can and bottle opener
  • Sharp and blunt end of a drawing pin
  • Rubber on the end of a pencil
  • Hammer with nail puller</t>
        </is>
      </c>
    </row>
    <row r="4">
      <c r="A4" t="n">
        <v>4</v>
      </c>
      <c r="B4" t="inlineStr">
        <is>
          <t>Asymmetry</t>
        </is>
      </c>
      <c r="C4" t="inlineStr">
        <is>
          <t>[A] [A] Change the shape or properties of an object from symmetrical to asymmetrical
  • Asymmetrical funnel allows higher flow-rate than normal funnel
  • Put a flat spot on a cylindrical shaft to attach a locking feature
  • Oval and complex shaped O-rings
  • Coated glass or paper
  • Electric Plug
  • Introduction of angled or scarfed geometry features on component edges
  • Cutaway on a guitar improves access to high notes
  • Spout of a jug
  • Cam
  • Ratchet
  • Aerofoil – asymmetry generates lift
  • Eccentric drive
  • Keys
[B] Change the shape of an object to suit external asymmetries (e.g. ergonomic features)
  • Human-shaped seating, etc
  • Design for left and right handed users
  • Finger and thumb grip features on objects
  • Spectacles
  • Car steering system compensates for camber in road
  • Wing design compensated for asymmetric flow produced by propeller
  • Turbomachinery design for boundary layer flows (‘end-bend’)
[C] If an object is asymmetrical, increase its degree of asymmetry
  • Use of variable control surfaces to alter lift properties of an aircraft wing
  • Special connectors with complex shape/pin configurations to ensure correct assembly
  • Introduction of several different measurement scales on a ruler</t>
        </is>
      </c>
    </row>
    <row r="5">
      <c r="A5" t="n">
        <v>5</v>
      </c>
      <c r="B5" t="inlineStr">
        <is>
          <t>Merging</t>
        </is>
      </c>
      <c r="C5" t="inlineStr">
        <is>
          <t>[A] [A] Bring closer together (or merge) identical or similar objects or operations in space
  • Automatic rifle / machine gun
  • Multi-colour ink cartridges
  • Multi-blade razors
  • Bi-focal lens spectacles
  • Double / triple glazing
  • Strips of staples
  • Catamaran / trimaran
[B] Make objects or operations contiguous or parallel; bring them together in time
  • Combine harvester
  • Manufacture cells
  • Grass collector on a lawn-mower
  • Mixer taps
  • Pipe-lined computer processors perform different stages in a calculation simultaneously
  • Vector processors perform the same process on several sets of data in a single pass
  • Fourier analysis – integration of many sine curves</t>
        </is>
      </c>
    </row>
    <row r="6">
      <c r="A6" t="n">
        <v>6</v>
      </c>
      <c r="B6" t="inlineStr">
        <is>
          <t>Universality</t>
        </is>
      </c>
      <c r="C6" t="inlineStr">
        <is>
          <t>[A] [A] Make an object perform multiple functions; eliminate the need for other parts
  • Child's car safety seat converts to a pushchair
  • Home entertainment centre
  • Swiss Army knife
  • Grill in a microwave oven
  • CD used as a storage medium for multiple data types
  • Cleaning strip at beginning of a cassette tape cleans tape heads
  • Cordless drill also acts as screwdriver, sander, polisher, etc</t>
        </is>
      </c>
    </row>
    <row r="7">
      <c r="A7" t="n">
        <v>7</v>
      </c>
      <c r="B7" t="inlineStr">
        <is>
          <t>Nested Doll</t>
        </is>
      </c>
      <c r="C7" t="inlineStr">
        <is>
          <t>[A] [A] Place one object inside another
  • Retractable aircraft under-carriage
  • Voids in 3D structures
  • Injected cavity-wall insulation
  • Paint-brush attached to inside of lid of nail-varnish, etc
  • Lining inside a coat
[B] Place multiple objects inside others
  • Nested tables
  • Telescope
  • Measuring cups or spoons
  • Stacking chairs
  • Multi-layer erosion/corrosion coatings
[C] Make one part pass (dynamically) through a cavity in the other
  • Telescopic car aerial
  • Retractable power-lead in vacuum cleaner
  • Seat belt retraction mechanism
  • Tape measure</t>
        </is>
      </c>
    </row>
    <row r="8">
      <c r="A8" t="n">
        <v>8</v>
      </c>
      <c r="B8" t="inlineStr">
        <is>
          <t>Anti-Weight</t>
        </is>
      </c>
      <c r="C8" t="inlineStr">
        <is>
          <t>[A] [A] To compensate for the weight of an object, merge it with other objects that provide lift
  • Kayak with foam floats built into hull cannot sink
  • Aerostatic aeroplane contains lighter-than-air pockets
  • Hot air or helium balloon
  • Swim-bladder inside a fish
  • Flymo cutting blade produces lift
[B] To compensate for the weight of an object, make it interact with the environment (use aerodynamic, hydrodynamic, buoyancy and other forces)
  • Vortex generators improve lift of aircraft wings
  • Wing-in-ground effect aircraft
  • Hydrofoils lift ship out of the water to reduce drag
  • Make use of centrifugal forces in rotating systems (e.g. Watt governor)
  • Maglev train uses magnetic repulsion to reduce friction</t>
        </is>
      </c>
    </row>
    <row r="9">
      <c r="A9" t="n">
        <v>9</v>
      </c>
      <c r="B9" t="inlineStr">
        <is>
          <t>Prior Counteraction</t>
        </is>
      </c>
      <c r="C9" t="inlineStr">
        <is>
          <t>[A] [A] When it is necessary to perform an action with both harmful and useful effects, this should be replaced with counteractions to control harmful effects
  • Make clay pigeons out of ice or dung - they just melt away
  • Masking objects before harmful exposure: use a lead apron for X-rays, use masking tape when painting difficult edges etc.
  • Predict effects of signal distortion - compensate before transmitting
  • Buffer a solution to prevent harm from extremes of pH
[B] Create beforehand stresses in an object that will oppose known undesirable working stresses later on
  • Pre-stress rebar before pouring concrete
  • Pre-stressed bolts
  • Decompression chamber to prevent divers getting the bends</t>
        </is>
      </c>
    </row>
    <row r="10">
      <c r="A10" t="n">
        <v>10</v>
      </c>
      <c r="B10" t="inlineStr">
        <is>
          <t>Prior Action</t>
        </is>
      </c>
      <c r="C10" t="inlineStr">
        <is>
          <t>[A] [A] Perform the required change of an object in advance
  • Pre-pasted wall paper
  • Sterilize all instruments needed for a surgical procedure
  • Self-adhesive stamps
  • Holes cut before sheet-metal part formed
  • Pre-impregnated carbon fibre reduces lay-up time and improves "wetting"
[B] Pre-arrange objects such that they can come into action from the most convenient place and without losing time for their delivery
  • Manufacture flow-lines
  • Pre-deposited blade in a surgery cast facilitates removal
  • Car jack, wheel brace, and spare tyre stored together
  • Collect all the tools and materials for the job before starting</t>
        </is>
      </c>
    </row>
    <row r="11">
      <c r="A11" t="n">
        <v>11</v>
      </c>
      <c r="B11" t="inlineStr">
        <is>
          <t>Cushion in Advance</t>
        </is>
      </c>
      <c r="C11" t="inlineStr">
        <is>
          <t>[A] [A] Prepare emergency means beforehand to compensate for the relatively low reliability of an object (‘belt and braces’)
  • Multi-channel control system
  • Air-bag in a car / Spare wheel / Battery back-up / Back-up parachute
  • Pressure relief valve
  • Emergency lighting circuit
  • Automatic save operations performed by computer programs
  • Crash barriers on motorways
  • ‘Touch-down’ bearing in magnetic bearing system</t>
        </is>
      </c>
    </row>
    <row r="12">
      <c r="A12" t="n">
        <v>12</v>
      </c>
      <c r="B12" t="inlineStr">
        <is>
          <t>Equipotentiality</t>
        </is>
      </c>
      <c r="C12" t="inlineStr">
        <is>
          <t>[A] [A] If an object has to be raised or lowered, redesign the object’s environment so the need to raise or lower is eliminated or performed by the environment
  • Canal locks
  • Spring loaded parts delivery system in a factory
  • Mechanic’s pit in a garage means car does not have to be lifted
  • Place a heavy object on ice, and let ice melt in order to lower it
  • Angle-poise lamp; changes in gravitational potential stored in springs
  • Descending cable cars balance the weight of ascending cars</t>
        </is>
      </c>
    </row>
    <row r="13">
      <c r="A13" t="n">
        <v>13</v>
      </c>
      <c r="B13" t="inlineStr">
        <is>
          <t>The Other Way Round</t>
        </is>
      </c>
      <c r="C13" t="inlineStr">
        <is>
          <t>[A] [A] Invert the action used to solve the problem
  • To loosen stuck parts, cool the inner part instead of heating the outer part
  • Vacuum casting
  • Rotary engines
  • Test pressure vessel by varying pressure outside rather than inside
  • Test seal on a liquid container by filling with pressurised air and immersing in liquid; trails of bubbles are easier to trace than slow liquid leaks
[B] Make movable parts (or the external environment) fixed, and fixed parts movable
  • Hamster wheel
  • Escalator
  • Rotate the part instead of the tool
  • Wind tunnels
  • Moving sidewalk with standing people
  • Drive through restaurant or bank
[C] Turn the object (or process) 'upside down'.
  • Clean bottles by inverting and injecting water from below
  • Turn an assembly upside down to insert fasteners</t>
        </is>
      </c>
    </row>
    <row r="14">
      <c r="A14" t="n">
        <v>14</v>
      </c>
      <c r="B14" t="inlineStr">
        <is>
          <t>Spheroidality – Curvature</t>
        </is>
      </c>
      <c r="C14" t="inlineStr">
        <is>
          <t>[A] [A] Move from flat surfaces to spherical ones and from parts shaped as a cube (parallelepiped) to ball-shaped structures
  • Use arches and domes for strength in architecture
  • Introduce fillet radii between surfaces at different angles
  • Introduce stress relieving holes at the ends of slots
  • Change curvature on lens to alter light deflection properties
[B] Use rollers, balls, spirals
  • Spiral gear (Nautilus) produces continuous resistance for weight lifting
  • Ball point and roller point pens for smooth ink distribution
  • Use spherical casters instead of cylindrical wheels to move furniture
  • Archimedes screw
[C] Go from linear to rotary motion (or vice versa)
  • Rotary actuators in hydraulic system
  • Switch from reciprocating to rotary pump
  • Push/pull versus rotary switches (e.g. lighting dimmer switch)
  • Linear motors
  • Linear versus rotating tracking arm on a record turntable ensures constant angle of stylus relative to groove
  • Screw-thread versus nail
[D] Use centrifugal forces
  • Centrifugal casting for even wall thickness structures
  • Spin components after painting to remove excess paint
  • Remove water from clothes with a spin dryer rather than a mangle
  • Separate chemicals with different density properties using a centrifuge
  • Watt governor
  • Vortex/cyclone separates different density objects</t>
        </is>
      </c>
    </row>
    <row r="15">
      <c r="A15" t="n">
        <v>15</v>
      </c>
      <c r="B15" t="inlineStr">
        <is>
          <t>Dynamics</t>
        </is>
      </c>
      <c r="C15" t="inlineStr">
        <is>
          <t>[A] [A] Change the object (or outside environment) for optimal performance at every stage of operation
  • Gel fillings inside seat allow it to adapt to user
  • Adjustable steering wheel (or seat, or back support, or mirror position...)
  • Shape memory alloys/polymers
  • Racing car suspension adjustable for different tracks and driving techniques
  • Car handbrake adjustable to account for brake pad wear
  • Telescopic curtain rail - "one size fits all"
[B] Divide an object into parts capable of movement relative to each other
  • Bifurcated bicycle saddle
  • Articulated lorry
  • Folding chair/mobile phone/laptop/etc
  • Collapsible structures
  • Brush seals
[C] Change from immobile to mobile
  • Bendy drinking straw
  • Flexible joint
  • Collapsible hose is flexible in use, and has additional flexibility of cross-section to make it easier to store
[D] Increase the degree of free motion
  • Use of different stiffness fibres in toothbrush – easily deflected at the edges to prevent gum damage, hard in the middle
  • Flexible drive allows motion to be translated around bends
  • Loose sand inside truck tyre gives it self-balancing properties at speed
  • Add joints to robot arm to increase motion possibilities</t>
        </is>
      </c>
    </row>
    <row r="16">
      <c r="A16" t="n">
        <v>16</v>
      </c>
      <c r="B16" t="inlineStr">
        <is>
          <t>Partial or Excessive Action</t>
        </is>
      </c>
      <c r="C16" t="inlineStr">
        <is>
          <t>[A] [A] If you can’t achieve 100 percent of a desired effect - then go for more or less
  • Over spray when painting, then remove excess
  • Fill, then "top off" when pouring a pint of Guinness
  • Shrink wrapping process uses plastic deformation of wrapping to accommodate variations in vacuum pressure
  • ‘Roughing’ and ‘Finish’ machining operations
  • Over-fill holes with plaster and then rub back to smooth</t>
        </is>
      </c>
    </row>
    <row r="17">
      <c r="A17" t="n">
        <v>17</v>
      </c>
      <c r="B17" t="inlineStr">
        <is>
          <t>Another Dimension</t>
        </is>
      </c>
      <c r="C17" t="inlineStr">
        <is>
          <t>[A] [A] Move into an additional dimension - from one to two - from two to three
  • Coiled telephone wire
  • Curved bristles on a brush
  • Pizza-box with ribbed (as opposed to flat) base
  • Spiral staircase uses less floor area
  • Introduction of down and up slopes between stations on railway reduces overall power requirements
[B] Go from single storey or layer to multi-storey or multi-layered
  • Player with many CDs
  • Stacked or multi-layered circuit boards
  • Multi-storey office blocks or car-parks
[C] Incline an object, lay it on its side
  • Cars on road transporter inclined to save space
[D] Use the other side
  • Press a groove onto both sides of a record
  • Mount electronic components on both sides of a circuit board
  • Print text around the rim of a coin
  • Paper clip - works by pressing both sides of paper together</t>
        </is>
      </c>
    </row>
    <row r="18">
      <c r="A18" t="n">
        <v>18</v>
      </c>
      <c r="B18" t="inlineStr">
        <is>
          <t>Mechanical Vibration</t>
        </is>
      </c>
      <c r="C18" t="inlineStr">
        <is>
          <t>[A] [A] Cause an object to oscillate or vibrate
  • Electric carving knife with vibrating blades
  • Shake/stir paint to mix before applying
  • Hammer drill
  • Vibration exciter removes voids from poured concrete
  • Vibrate during sieving operations to improve throughput
  • Musical instrument
[B] Increase its frequency (even up to the ultrasonic)
  • Dog-whistle (transmit sound outside human range)
  • Ultrasonic cleaning
  • Non-destructive crack detection using ultrasound
[C] Use an object's resonant frequency
  • Destroy gallstones or kidney stones using ultrasonic resonance
  • Bottle cleaning by pulsing water jet at resonant frequency of bottles
  • Tuning fork
  • Increase action of a catalyst by vibrating it at its resonant frequency
[D] Use piezoelectric vibrators instead of mechanical ones
  • Quartz crystal oscillations drive high accuracy clocks
  • Piezoelectric vibrators improve fluid atomisation from a spray nozzle
  • Optical phase modulator
[E] Use combined ultrasonic and electromagnetic field oscillations
  • Mixing alloys in an induction furnace
  • Sono-chemistry
  • Ultrasonic drying of films – combine ultrasonic with heat source</t>
        </is>
      </c>
    </row>
    <row r="19">
      <c r="A19" t="n">
        <v>19</v>
      </c>
      <c r="B19" t="inlineStr">
        <is>
          <t>Periodic Action</t>
        </is>
      </c>
      <c r="C19" t="inlineStr">
        <is>
          <t>[A] [A] Instead of continuous action, use periodic or pulsating actions
  • Hitting something repeatedly with a hammer
  • Pile drivers and hammer drills exert far more force for a given weight
  • Replace a continuous siren with a pulsed sound
  • Pulsed bicycle lights make cyclist more noticeable to drivers
  • Pulsed vacuum cleaner suction improves collection performance
  • Pulsed water jet cutting
  • ABS car braking systems
[B] If an action is already periodic, change the periodic magnitude or frequency
  • Improve a pulsed siren with changing amplitude and frequency
  • Dots and dashes in Morse Code transmissions
  • Use AM, FM, PWM to transmit information
[C] Use pauses between actions to perform a different action
  • Clean barrier filters by back-flushing them when not in use
  • Inkjet printer cleans heads between passes
  • Brush between suction pulses in vacuum cleaner
  • Multiple conversations on the same telephone transmission line
  • Use of energy storage means – e.g. batteries, fly-wheels, etc</t>
        </is>
      </c>
    </row>
    <row r="20">
      <c r="A20" t="n">
        <v>20</v>
      </c>
      <c r="B20" t="inlineStr">
        <is>
          <t>Continuity of Useful Action</t>
        </is>
      </c>
      <c r="C20" t="inlineStr">
        <is>
          <t>[A] [A] Carry on work without a break. All parts of an object operating constantly at full capacity
  • Flywheel stores energy when a vehicle stops, so the motor can keep running at optimum power
  • Constant output gas turbine in hybrid car, or APU in aircraft, runs at highest efficiency all the time it is switched on
  • Constant speed / variable pitch propeller
  • Self-tuning engine – constantly tunes itself to ensure maximum efficiency
  • Heart pacemaker
  • Improve composting process by continuously turning material
  • Continuous glass or steel production
[B] Eliminate all idle or intermittent motion
  • Self-cleaning / self-emptying filter eliminates down-time
  • Print during the return of a printer carriage - dot matrix printer, daisy wheel printers, inkjet printers
  • Digital storage media allow ‘instant’ information access
  • Kayaks use double-ended paddle to utilise recovery stroke
  • Computer operating systems utilise idle periods to perform necessary housekeeping tasks</t>
        </is>
      </c>
    </row>
    <row r="21">
      <c r="A21" t="n">
        <v>21</v>
      </c>
      <c r="B21" t="inlineStr">
        <is>
          <t>Rushing Through</t>
        </is>
      </c>
      <c r="C21" t="inlineStr">
        <is>
          <t>[A] [A] Conduct a process, or certain stages of it (e.g. destructible, harmful or hazardous operations) at high speed
  • Cut plastic faster than heat can propagate in the material, to avoid deforming the shape
  • Shatter toffee with a hammer blow
  • Drop forge
  • Flash photography
  • Super-critical shaft – run through resonant modes quickly
  • Bikini waxing (ouch!)</t>
        </is>
      </c>
    </row>
    <row r="22">
      <c r="A22" t="n">
        <v>22</v>
      </c>
      <c r="B22" t="inlineStr">
        <is>
          <t>Blessing in Disguise</t>
        </is>
      </c>
      <c r="C22" t="inlineStr">
        <is>
          <t>[A] [A] Use harmful factors (particularly, harmful effects of the environment or surroundings) to achieve a positive effect
  • Use waste heat to generate electric power
  • Recycle scrap material as raw materials for another – e.g. chipboard
  • Vaccination
  • Lower body temperature to slow metabolism during operations
  • Composting
  • Use centrifugal energy in rotating shaft to do something useful – e.g. seal, or modulate cooling air
  • Use pressure differences to help rather than hinder seal performance
[B] Eliminate the primary harmful action by adding it to another harmful action to resolve the problem
  • Add a buffering material to a corrosive solution (e.g. an alkali to an acid, or vice versa)
  • Use a helium-oxygen mix for diving, to eliminate both nitrogen narcosis and oxygen poisoning from air and other nitrox mixes
  • Use gamma rays to detect positron emissions from explosives
[C] Amplify a harmful factor to such a degree that it is no longer harmful
  • Use a backfire to eliminate the fuel from a forest fire
  • Use explosives to blow out an oil-well fire
  • Laser-knife cauterises skin/blood vessels as it cuts</t>
        </is>
      </c>
    </row>
    <row r="23">
      <c r="A23" t="n">
        <v>23</v>
      </c>
      <c r="B23" t="inlineStr">
        <is>
          <t>Feedback</t>
        </is>
      </c>
      <c r="C23" t="inlineStr">
        <is>
          <t>[A] [A] Introduce feedback to improve a process or action
  • Automatic volume control in audio circuits
  • Signal from gyrocompass is used to control simple aircraft autopilots
  • Engine management system based on exhaust gas levels is more efficient than carburettor
  • Thermostat controls temperature accurately
  • Statistical Process Control - measurements are used to decide when to modify a process
  • Feedback turns inaccurate op-amp into useable accurate amplifier
[B] If feedback is already used, change its magnitude or influence in accordance with operating conditions
  • Change sensitivity of an autopilot when within 5 miles of an airport
  • Change sensitivity of a thermostat when cooling vs. heating, since it uses energy less efficiently when cooling
  • Use proportional, integral and/or differential control algorithm combinations</t>
        </is>
      </c>
    </row>
    <row r="24">
      <c r="A24" t="n">
        <v>24</v>
      </c>
      <c r="B24" t="inlineStr">
        <is>
          <t>Intermediary</t>
        </is>
      </c>
      <c r="C24" t="inlineStr">
        <is>
          <t>[A] [A] Use an intermediary carrier article or intermediary process
  • Play a guitar with a plectrum
  • Use a chisel to control rock breaking/sculpting process
  • Dwell period during a manufacture process operation
[B] Merge one object temporarily with another (which can be easily removed)
  • Gloves to get hot dishes out of an oven
  • Joining papers with a paper clip
  • Introduction of catalysts into chemical reaction
  • Abrasive particles enhance water jet cutting
  • Bouquet garni in cooking</t>
        </is>
      </c>
    </row>
    <row r="25">
      <c r="A25" t="n">
        <v>25</v>
      </c>
      <c r="B25" t="inlineStr">
        <is>
          <t>Self-Service</t>
        </is>
      </c>
      <c r="C25" t="inlineStr">
        <is>
          <t>[A] [A] An object must service itself by performing auxiliary helpful functions
  • A soda fountain pump that runs on the pressure of the carbon dioxide used to carbonate the drinks. If it won’t fizz it’s empty!
  • Halogen lamps regenerate the filament - evaporated material is redeposited
  • Self-aligning / self-adjusting seal
  • Self-cleaning oven / glass / material
  • Abradable materials used in gas turbines such that initial running-in ‘cuts’ optimum seals into lining
[B] Use waste resources, energy, or substances
  • Use heat from a process to generate electricity: co-generation
  • Use animal waste as fertilizer
  • Use food and lawn waste to create compost
  • Use pressure difference to reinforce seal action</t>
        </is>
      </c>
    </row>
    <row r="26">
      <c r="A26" t="n">
        <v>26</v>
      </c>
      <c r="B26" t="inlineStr">
        <is>
          <t>Copying</t>
        </is>
      </c>
      <c r="C26" t="inlineStr">
        <is>
          <t>[A] [A] Replace unavailable, expensive or fragile object with available or inexpensive copies
  • Imitation jewellery
  • Astroturf
  • Crash test dummy
[B] Replace an object, or process with optical copies
  • Do surveying from space photographs instead of on the ground
  • Measure an object by scaling measurements from a photograph
  • Virtual reality / Virtual mock-ups / electronic pre-assembly modelling
[C] If visible optical copies are used, move to infrared or ultraviolet copies
  • Make images in infrared to detect heat sources, such as diseases in crops, or intruders in a security system
  • Use UV as a non-destructive crack detection method
  • UV light used to attract flying insects into trap</t>
        </is>
      </c>
    </row>
    <row r="27">
      <c r="A27" t="n">
        <v>27</v>
      </c>
      <c r="B27" t="inlineStr">
        <is>
          <t>Cheap Short-Living Objects</t>
        </is>
      </c>
      <c r="C27" t="inlineStr">
        <is>
          <t>[A] [A] Replace an expensive object with a multiple of inexpensive objects, compromising certain qualities, such as service life
  • Disposable nappies / paper-cups / plates / cameras / torches etc
  • Matches versus lighters
  • Throw-away cigarette lighters
  • Sacrificial coatings / components</t>
        </is>
      </c>
    </row>
    <row r="28">
      <c r="A28" t="n">
        <v>28</v>
      </c>
      <c r="B28" t="inlineStr">
        <is>
          <t>Replace Mechanical System</t>
        </is>
      </c>
      <c r="C28" t="inlineStr">
        <is>
          <t>[A] [A] Replace a mechanical system with a sensory one
  • Replace a physical barrier with an acoustic one (audible to animals)
  • Add a bad smell to natural gas to alert users to leaks
  • Finger-print/retina/etc scan instead of a key
  • Voice activated telephone dialling
[B] Use electric, magnetic and electromagnetic fields to interact with the object
  • To mix 2 powders, electrostatically charge one positive and the other negative
  • Electrostatic precipitators separate particles from airflow
  • Improve efficiency of paint-spraying by oppositely charging paint droplets and object to be painted
  • Magnetic bearings
  • Field activated switches
[C] Replace stationary fields with moving; unstructured fields with structured
  • Early communications used omni-directional broadcasting. We now use antennas with very detailed structure of the pattern of radiation
  • Magnetic Resonance Imaging (MRI) scanner
[D] Use fields in conjunction with field-activated (e.g. ferromagnetic) particles
  • Heat a substance containing ferromagnetic material by using varying magnetic field. When the temperature exceeds the Curie point, the material becomes paramagnetic, and no longer absorbs heat
  • Magneto-rheological effect – uses ferromagnetic particles and variable magnetic field to alter the viscosity of a fluid
  • Ferro-magnetic catalysts
  • Ferro-fluids – e.g. Magnatec oil – stay attached to surfaces requiring lubrication</t>
        </is>
      </c>
    </row>
    <row r="29">
      <c r="A29" t="n">
        <v>29</v>
      </c>
      <c r="B29" t="inlineStr">
        <is>
          <t>Pneumatics and Hydraulics</t>
        </is>
      </c>
      <c r="C29" t="inlineStr">
        <is>
          <t>[A] [A] Use gas and liquid parts of an object instead of solid parts (e.g. inflatable, filled with liquids, air cushion, hydrostatic, hydro-reactive)
  • Transition from mechanical to hydraulic or pneumatic drive
  • Inflatable furniture / mattress etc
  • Gel filled saddle adapts to user
  • Hollow section O-rings
  • Hovercraft
  • Gas bearings
  • Acoustic panels incorporating Helmholtz resonators</t>
        </is>
      </c>
    </row>
    <row r="30">
      <c r="A30" t="n">
        <v>30</v>
      </c>
      <c r="B30" t="inlineStr">
        <is>
          <t>Flexible Membranes/Thin Films</t>
        </is>
      </c>
      <c r="C30" t="inlineStr">
        <is>
          <t>[A] [A] Use flexible shells and thin films instead of three-dimensional structures
  • Use inflatable (thin film) structures
  • Taut-liner trucks
  • Tarpaulin car cover instead of garage
  • Store energy in stretchable bags – accumulators in a hydraulic system
[B] Isolate the object from its external environment using flexible membranes
  • Bubble-wrap
  • Bandages/plasters
  • Tea bag
  • Shrink wrapping</t>
        </is>
      </c>
    </row>
    <row r="31">
      <c r="A31" t="n">
        <v>31</v>
      </c>
      <c r="B31" t="inlineStr">
        <is>
          <t>Porous Materials</t>
        </is>
      </c>
      <c r="C31" t="inlineStr">
        <is>
          <t>[A] [A] Make an object porous or add porous elements (inserts, coatings, etc.)
  • Drill holes in a structure to reduce the weight
  • Cavity wall insulation
  • Transpiration film cooled structures
  • Foam metals
  • Use sponge-like structures as fluid absorption media
[B] If an object is already porous, use the pores to introduce a useful substance or function
  • Use a porous metal mesh to wick excess solder away from a joint
  • Store hydrogen in the pores of a palladium sponge.
  • Desiccant in polystyrene packing materials
  • Medicated swabs/dressings</t>
        </is>
      </c>
    </row>
    <row r="32">
      <c r="A32" t="n">
        <v>32</v>
      </c>
      <c r="B32" t="inlineStr">
        <is>
          <t>Colour Change</t>
        </is>
      </c>
      <c r="C32" t="inlineStr">
        <is>
          <t>[A] [A] Change the colour of an object or its external environment
  • Use safe lights in a photographic darkroom
  • Use colour-changing thermal paint to measure temperature
  • Plastic spoon which changes colour when hot - for baby food
  • Temperature-sensitive dyes used on food product labels to indicate when desired serving temperature has been achieved
  • Electrochromic glass
  • Light-sensitive glasses
  • Camouflage
  • Dazzle camouflage used on World War 1 ships
  • Employ interference fringes on surface structures to change colour (as in butterfly wings, etc)
[B] Change the transparency of an object or its external environment
  • Use photolithography to change transparent material to a solid mask for semiconductor processing
  • Light-sensitive glass
[C] In order to improve observability of things that are difficult to see, use coloured additives or luminescent elements
  • Fluorescent additives used during UV spectroscopy
  • UV marker pens used to help identify stolen goods
  • Use opposing colours to increase visibility – e.g. butchers use green decoration to make the red in meat look redder
[D] Change the emissivity properties of an object subject to radiant heating
  • Use of black and white coloured panels to assist thermal management on space vehicles
  • Use of parabolic reflectors in solar panels to increase energy capture
  • Paint object with high emissivity paint in order to be able to measure its temperature with a calibrated thermal imager</t>
        </is>
      </c>
    </row>
    <row r="33">
      <c r="A33" t="n">
        <v>33</v>
      </c>
      <c r="B33" t="inlineStr">
        <is>
          <t>Homogeneity</t>
        </is>
      </c>
      <c r="C33" t="inlineStr">
        <is>
          <t>[A] [A] Objects interacting with the main object should be of same material (or material with identical properties)
  • Container made of the same material as its contents, to reduce chemical reactions
  • Friction welding requires no intermediary material between the two surfaces to be joined
  • Temporary plant pots made out of compostable material
  • Human blood transfusions/transplants, use of bio-compatible materials
  • Make ice-cubes out of the same fluid as the drink they are intended to cool
  • Join wooden components using (wood) dowel joints</t>
        </is>
      </c>
    </row>
    <row r="34">
      <c r="A34" t="n">
        <v>34</v>
      </c>
      <c r="B34" t="inlineStr">
        <is>
          <t>Discarding and Recovering</t>
        </is>
      </c>
      <c r="C34" t="inlineStr">
        <is>
          <t>[A] [A] After completing their function (or becoming useless) reject objects, make them go away, (discard them by dissolving, evaporating, etc) or modify during the process
  • Dissolving capsule for medication.
  • Bio-degradable containers, bags etc.
  • Casting processes – lost-wax, sand, etc.
  • During firing of a rocket, foam protection is used on some elements; this evaporates in space when shock absorbance is no longer required
[B] Restore consumable / used up parts of an object during operation
  • Self-sharpening blades – knives / lawn-mowers etc
  • Strimmer dispenses more wire automatically after a breakage
  • Self-tuning automobile engines
  • Propelling pencil
  • Automatic rifle</t>
        </is>
      </c>
    </row>
    <row r="35">
      <c r="A35" t="n">
        <v>35</v>
      </c>
      <c r="B35" t="inlineStr">
        <is>
          <t>Parameter Change</t>
        </is>
      </c>
      <c r="C35" t="inlineStr">
        <is>
          <t>[A] [A] Change the physical state (e.g. to a gas, liquid, or solid)
  • Transport oxygen or nitrogen or petroleum gas as a liquid, instead of a gas, to reduce volume
[B] Change the concentration or density
  • Liquid soap
  • Abradable linings used for gas-turbine engine seals
[C] Change the degree of flexibility
  • Vulcanize rubber to change its flexibility and durability
  • Compliant brush seals rather than labyrinth or other fixed geometry seals
[D] Change the temperature or volume
  • Raise the temperature above the Curie point to change a ferromagnetic substance to a paramagnetic substance
  • Cooking / baking etc.
[E] Change the pressure
  • Pressure cooker cooks more quickly and without losing flavours
  • Electron beam welding in a vacuum
  • Vacuum packing of perishable goods
[F] Change other parameters
  • Shape memory alloys/polymers
  • Use Curie point to alter magnetic properties
  • Thixotropic paints / gels etc.
  • Use high conductivity materials – e.g. carbon fibre</t>
        </is>
      </c>
    </row>
    <row r="36">
      <c r="A36" t="n">
        <v>36</v>
      </c>
      <c r="B36" t="inlineStr">
        <is>
          <t>Phase Transition</t>
        </is>
      </c>
      <c r="C36" t="inlineStr">
        <is>
          <t>[A] [A] Use phenomena of phase transitions (e.g. volume changes, loss or absorption of heat, etc.)
  • Latent heat effects in melting / boiling
  • Soak rocks in water, then freezing causes water to expand – thus opening fissures in rock, making it easier to break
  • Heat pumps use the heat of vaporization and heat of condensation of a closed thermodynamic cycle to do useful work
  • Volume expansion during water-to-steam transition
  • Superconductivity</t>
        </is>
      </c>
    </row>
    <row r="37">
      <c r="A37" t="n">
        <v>37</v>
      </c>
      <c r="B37" t="inlineStr">
        <is>
          <t>Thermal Expansion</t>
        </is>
      </c>
      <c r="C37" t="inlineStr">
        <is>
          <t>[A] [A] Use thermal expansion, or contraction, of materials
  • Fit a tight joint together by cooling the inner part to contract, heating the outer part to expand, putting the joint together, and returning to equilibrium
  • Metal tie-bars used to straighten buckling walls on old buildings
  • Thermal switch/cut-out
  • Shape memory alloys/polymers
  • Shrink-wrapping
[B] Use multiple materials with different coefficients of thermal expansion
  • Bi-metallic strips used for thermostats, etc
  • Two-way shape memory alloys
  • Passive blade tip clearance control in gas turbine engines
  • Combine materials with positive and negative thermal expansion coefficients to obtain alloys with zero (or specifically tailored) expansion properties – e.g. cerro-tru alloy used in the mounting and location of fragile turbine blade components during manufacture operations</t>
        </is>
      </c>
    </row>
    <row r="38">
      <c r="A38" t="n">
        <v>38</v>
      </c>
      <c r="B38" t="inlineStr">
        <is>
          <t>Accelerated Oxidation</t>
        </is>
      </c>
      <c r="C38" t="inlineStr">
        <is>
          <t>[A] [A] Replace common air with oxygen-enriched air
  • Scuba diving with Nitrox or other non-air mixtures for extended endurance
  • Place asthmatic patients in oxygen tent
  • Nitrous oxide injection to provide power boost in high performance engines
[B] Replace enriched air with pure oxygen
  • Cut at a higher temperature using an oxy-acetylene torch
  • Treat wounds in a high pressure oxygen environment to kill anaerobic bacteria and aid healing
  • Control oxidation reactions more effectively by reacting in pure oxygen
[C] Expose air or oxygen to ionising radiation
  • Positive ions formed by ionising air can be deflected by magnetic field in order to (e.g.) reduce air resistance over an aerodynamic surface
  • Irradiation of food to extend shelf life
  • Use ionised air to destroy bacteria and sterilise food
[D] Use ionised oxygen
  • Speed up chemical reactions by ionising the gas before use
  • Separate oxygen from a mixed gas by ionising the oxygen
[E] Replace ozonised (or ionised) oxygen with ozone
  • Oxidisation of metals in bleaching solutions to reduce cost relative to hydrogen peroxide
  • Use ozone to destroy micro-organisms and toxins in corn
  • Ozone dissolved in water removes organic contaminants from ship hulls</t>
        </is>
      </c>
    </row>
    <row r="39">
      <c r="A39" t="n">
        <v>39</v>
      </c>
      <c r="B39" t="inlineStr">
        <is>
          <t>Inert Atmosphere</t>
        </is>
      </c>
      <c r="C39" t="inlineStr">
        <is>
          <t>[A] [A] Replace a normal environment with an inert one
  • Prevent degradation of a hot metal filament by using an argon atmosphere
  • MIG/TIG welding
  • Electron beam welding conducted in a vacuum
  • Vacuum packaging
  • Foam to separate a fire from oxygen in air
[B] Add neutral parts, or inert additives to an object
  • Naval aviation fuel contains additives to alter flash point
  • Add fire retardant elements to titanium to reduce possibility of titanium fire
  • Add foam to absorb sound vibrations – e.g. hi-fi speakers</t>
        </is>
      </c>
    </row>
    <row r="40">
      <c r="A40" t="n">
        <v>40</v>
      </c>
      <c r="B40" t="inlineStr">
        <is>
          <t>Composite Materials</t>
        </is>
      </c>
      <c r="C40" t="inlineStr">
        <is>
          <t>[A] [A] Change from uniform to composite (multiple) materials
  • Aircraft structures where low weight and high strength are required
  • Composites in golf club shaft
  • Concrete aggregate
  • Glass-reinforced plastic
  • Fibre-reinforced ceramics
  • Hard / soft / hard multi-layer coatings to improve erosion properties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2026-03-31T12:01:17Z</dcterms:created>
  <dcterms:modified xmlns:dcterms="http://purl.org/dc/terms/" xmlns:xsi="http://www.w3.org/2001/XMLSchema-instance" xsi:type="dcterms:W3CDTF">2026-05-05T13:20:55Z</dcterms:modified>
  <cp:lastModifiedBy>jeremy how</cp:lastModifiedBy>
  <cp:revision>0</cp:revision>
</cp:coreProperties>
</file>